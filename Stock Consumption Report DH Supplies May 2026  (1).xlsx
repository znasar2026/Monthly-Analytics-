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2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ink/ink11.xml" ContentType="application/inkml+xml"/>
  <Override PartName="/xl/ink/ink12.xml" ContentType="application/inkml+xml"/>
  <Override PartName="/xl/ink/ink13.xml" ContentType="application/inkml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SidraKashif\Downloads\"/>
    </mc:Choice>
  </mc:AlternateContent>
  <xr:revisionPtr revIDLastSave="0" documentId="8_{E0890132-BE45-481B-82A4-246C6C6AA6CA}" xr6:coauthVersionLast="47" xr6:coauthVersionMax="47" xr10:uidLastSave="{00000000-0000-0000-0000-000000000000}"/>
  <bookViews>
    <workbookView xWindow="-120" yWindow="-120" windowWidth="20730" windowHeight="11040" firstSheet="2" activeTab="1" xr2:uid="{00000000-000D-0000-FFFF-FFFF00000000}"/>
  </bookViews>
  <sheets>
    <sheet name="DH Grocery Items" sheetId="4" r:id="rId1"/>
    <sheet name="DH Janitorial Items" sheetId="3" r:id="rId2"/>
    <sheet name="Stationery Items Stock Sheet " sheetId="2" r:id="rId3"/>
    <sheet name="Monthly Cost Breakup" sheetId="5" r:id="rId4"/>
  </sheets>
  <definedNames>
    <definedName name="_xlnm.Print_Area" localSheetId="1">'DH Janitorial Items'!$A$1:$M$42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4" l="1"/>
  <c r="C18" i="2"/>
  <c r="C14" i="2"/>
  <c r="C26" i="3"/>
  <c r="C25" i="2"/>
  <c r="C22" i="2"/>
  <c r="C13" i="3"/>
  <c r="E7" i="2"/>
  <c r="C31" i="2"/>
  <c r="C9" i="3" l="1"/>
  <c r="C6" i="3"/>
  <c r="E6" i="3" s="1"/>
  <c r="B11" i="5"/>
  <c r="D11" i="5" s="1"/>
  <c r="B10" i="5"/>
  <c r="D10" i="5" s="1"/>
  <c r="B8" i="5"/>
  <c r="D8" i="5" s="1"/>
  <c r="L64" i="5"/>
  <c r="L55" i="5"/>
  <c r="N55" i="5" s="1"/>
  <c r="L54" i="5"/>
  <c r="N54" i="5" s="1"/>
  <c r="L46" i="5"/>
  <c r="L45" i="5"/>
  <c r="N45" i="5" s="1"/>
  <c r="L44" i="5"/>
  <c r="N44" i="5" s="1"/>
  <c r="L37" i="5"/>
  <c r="N37" i="5" s="1"/>
  <c r="L33" i="5"/>
  <c r="N33" i="5" s="1"/>
  <c r="C40" i="2"/>
  <c r="C11" i="3"/>
  <c r="C5" i="3"/>
  <c r="E6" i="4"/>
  <c r="E5" i="4"/>
  <c r="C28" i="2"/>
  <c r="C59" i="2"/>
  <c r="C53" i="2"/>
  <c r="C47" i="2"/>
  <c r="C45" i="2"/>
  <c r="C43" i="2"/>
  <c r="C41" i="2"/>
  <c r="C36" i="2"/>
  <c r="C34" i="2"/>
  <c r="C29" i="2"/>
  <c r="C27" i="2"/>
  <c r="C19" i="2"/>
  <c r="C17" i="2"/>
  <c r="C12" i="2"/>
  <c r="C10" i="2"/>
  <c r="C63" i="2"/>
  <c r="C62" i="2"/>
  <c r="C58" i="2"/>
  <c r="C57" i="2"/>
  <c r="C56" i="2"/>
  <c r="C55" i="2"/>
  <c r="C54" i="2"/>
  <c r="C52" i="2"/>
  <c r="C51" i="2"/>
  <c r="C50" i="2"/>
  <c r="C49" i="2"/>
  <c r="C48" i="2"/>
  <c r="C46" i="2"/>
  <c r="C44" i="2"/>
  <c r="C42" i="2"/>
  <c r="C39" i="2"/>
  <c r="C38" i="2"/>
  <c r="C37" i="2"/>
  <c r="C35" i="2"/>
  <c r="C33" i="2"/>
  <c r="C32" i="2"/>
  <c r="C30" i="2"/>
  <c r="C26" i="2"/>
  <c r="C24" i="2"/>
  <c r="C23" i="2"/>
  <c r="C21" i="2"/>
  <c r="C20" i="2"/>
  <c r="C16" i="2"/>
  <c r="C15" i="2"/>
  <c r="C13" i="2"/>
  <c r="C11" i="2"/>
  <c r="C8" i="2"/>
  <c r="C7" i="2"/>
  <c r="C6" i="2"/>
  <c r="C23" i="3"/>
  <c r="C20" i="3"/>
  <c r="C16" i="3"/>
  <c r="C15" i="3"/>
  <c r="C8" i="3"/>
  <c r="C34" i="3"/>
  <c r="C33" i="3"/>
  <c r="C32" i="3"/>
  <c r="C31" i="3"/>
  <c r="C30" i="3"/>
  <c r="C29" i="3"/>
  <c r="C28" i="3"/>
  <c r="C27" i="3"/>
  <c r="C25" i="3"/>
  <c r="C21" i="3"/>
  <c r="C18" i="3"/>
  <c r="C17" i="3"/>
  <c r="C12" i="3"/>
  <c r="C7" i="3"/>
  <c r="A34" i="3"/>
  <c r="A33" i="3"/>
  <c r="A31" i="3"/>
  <c r="A30" i="3"/>
  <c r="A29" i="3"/>
  <c r="A28" i="3"/>
  <c r="A27" i="3"/>
  <c r="A25" i="3"/>
  <c r="A22" i="3"/>
  <c r="A18" i="3"/>
  <c r="A17" i="3"/>
  <c r="C8" i="4"/>
  <c r="E8" i="4" s="1"/>
  <c r="A7" i="4"/>
  <c r="C7" i="4" s="1"/>
  <c r="E7" i="4" s="1"/>
  <c r="L7" i="5"/>
  <c r="N7" i="5" s="1"/>
  <c r="L8" i="5"/>
  <c r="N8" i="5" s="1"/>
  <c r="L9" i="5"/>
  <c r="N9" i="5" s="1"/>
  <c r="L10" i="5"/>
  <c r="N10" i="5" s="1"/>
  <c r="L11" i="5"/>
  <c r="N11" i="5" s="1"/>
  <c r="L12" i="5"/>
  <c r="N12" i="5" s="1"/>
  <c r="L13" i="5"/>
  <c r="N13" i="5" s="1"/>
  <c r="L14" i="5"/>
  <c r="N14" i="5" s="1"/>
  <c r="L15" i="5"/>
  <c r="N15" i="5" s="1"/>
  <c r="L16" i="5"/>
  <c r="N16" i="5" s="1"/>
  <c r="L17" i="5"/>
  <c r="N17" i="5" s="1"/>
  <c r="L18" i="5"/>
  <c r="N18" i="5" s="1"/>
  <c r="L19" i="5"/>
  <c r="N19" i="5" s="1"/>
  <c r="L20" i="5"/>
  <c r="N20" i="5" s="1"/>
  <c r="L21" i="5"/>
  <c r="N21" i="5" s="1"/>
  <c r="L22" i="5"/>
  <c r="N22" i="5" s="1"/>
  <c r="L23" i="5"/>
  <c r="N23" i="5" s="1"/>
  <c r="L24" i="5"/>
  <c r="N24" i="5" s="1"/>
  <c r="L25" i="5"/>
  <c r="N25" i="5" s="1"/>
  <c r="L26" i="5"/>
  <c r="N26" i="5" s="1"/>
  <c r="L27" i="5"/>
  <c r="N27" i="5" s="1"/>
  <c r="L28" i="5"/>
  <c r="N28" i="5" s="1"/>
  <c r="L29" i="5"/>
  <c r="N29" i="5" s="1"/>
  <c r="L30" i="5"/>
  <c r="N30" i="5" s="1"/>
  <c r="L31" i="5"/>
  <c r="N31" i="5" s="1"/>
  <c r="L32" i="5"/>
  <c r="N32" i="5" s="1"/>
  <c r="L34" i="5"/>
  <c r="N34" i="5" s="1"/>
  <c r="L35" i="5"/>
  <c r="N35" i="5" s="1"/>
  <c r="L36" i="5"/>
  <c r="N36" i="5" s="1"/>
  <c r="L38" i="5"/>
  <c r="N38" i="5" s="1"/>
  <c r="L39" i="5"/>
  <c r="N39" i="5" s="1"/>
  <c r="L40" i="5"/>
  <c r="N40" i="5" s="1"/>
  <c r="L41" i="5"/>
  <c r="N41" i="5" s="1"/>
  <c r="L42" i="5"/>
  <c r="N42" i="5" s="1"/>
  <c r="L43" i="5"/>
  <c r="N43" i="5" s="1"/>
  <c r="N46" i="5"/>
  <c r="L47" i="5"/>
  <c r="N47" i="5" s="1"/>
  <c r="L48" i="5"/>
  <c r="N48" i="5" s="1"/>
  <c r="L49" i="5"/>
  <c r="N49" i="5" s="1"/>
  <c r="L50" i="5"/>
  <c r="N50" i="5" s="1"/>
  <c r="L51" i="5"/>
  <c r="N51" i="5" s="1"/>
  <c r="L52" i="5"/>
  <c r="N52" i="5" s="1"/>
  <c r="L53" i="5"/>
  <c r="N53" i="5" s="1"/>
  <c r="L56" i="5"/>
  <c r="N56" i="5" s="1"/>
  <c r="L57" i="5"/>
  <c r="N57" i="5" s="1"/>
  <c r="L58" i="5"/>
  <c r="N58" i="5" s="1"/>
  <c r="L59" i="5"/>
  <c r="N59" i="5" s="1"/>
  <c r="L60" i="5"/>
  <c r="N60" i="5" s="1"/>
  <c r="L61" i="5"/>
  <c r="N61" i="5" s="1"/>
  <c r="L62" i="5"/>
  <c r="N62" i="5" s="1"/>
  <c r="L63" i="5"/>
  <c r="N63" i="5" s="1"/>
  <c r="N64" i="5"/>
  <c r="L65" i="5"/>
  <c r="N65" i="5" s="1"/>
  <c r="L66" i="5"/>
  <c r="N66" i="5" s="1"/>
  <c r="L67" i="5"/>
  <c r="N67" i="5" s="1"/>
  <c r="L68" i="5"/>
  <c r="N68" i="5" s="1"/>
  <c r="L69" i="5"/>
  <c r="N69" i="5" s="1"/>
  <c r="L6" i="5"/>
  <c r="N6" i="5" s="1"/>
  <c r="L5" i="5"/>
  <c r="N5" i="5" s="1"/>
  <c r="G6" i="5"/>
  <c r="I6" i="5" s="1"/>
  <c r="G7" i="5"/>
  <c r="I7" i="5" s="1"/>
  <c r="G8" i="5"/>
  <c r="I8" i="5" s="1"/>
  <c r="G9" i="5"/>
  <c r="I9" i="5" s="1"/>
  <c r="G10" i="5"/>
  <c r="I10" i="5" s="1"/>
  <c r="G11" i="5"/>
  <c r="I11" i="5" s="1"/>
  <c r="G12" i="5"/>
  <c r="I12" i="5" s="1"/>
  <c r="G13" i="5"/>
  <c r="I13" i="5" s="1"/>
  <c r="G14" i="5"/>
  <c r="I14" i="5" s="1"/>
  <c r="G15" i="5"/>
  <c r="I15" i="5" s="1"/>
  <c r="G16" i="5"/>
  <c r="I16" i="5" s="1"/>
  <c r="G17" i="5"/>
  <c r="I17" i="5" s="1"/>
  <c r="G18" i="5"/>
  <c r="I18" i="5" s="1"/>
  <c r="G19" i="5"/>
  <c r="I19" i="5" s="1"/>
  <c r="G20" i="5"/>
  <c r="I20" i="5" s="1"/>
  <c r="G21" i="5"/>
  <c r="I21" i="5" s="1"/>
  <c r="I22" i="5"/>
  <c r="G23" i="5"/>
  <c r="I23" i="5" s="1"/>
  <c r="G24" i="5"/>
  <c r="I24" i="5" s="1"/>
  <c r="G25" i="5"/>
  <c r="I25" i="5" s="1"/>
  <c r="G26" i="5"/>
  <c r="I26" i="5" s="1"/>
  <c r="G27" i="5"/>
  <c r="I27" i="5" s="1"/>
  <c r="G5" i="5"/>
  <c r="I5" i="5" s="1"/>
  <c r="B6" i="5"/>
  <c r="D6" i="5" s="1"/>
  <c r="B7" i="5"/>
  <c r="D7" i="5" s="1"/>
  <c r="B9" i="5"/>
  <c r="D9" i="5" s="1"/>
  <c r="B5" i="5"/>
  <c r="D5" i="5" s="1"/>
  <c r="N70" i="5" l="1"/>
  <c r="D12" i="5"/>
  <c r="I28" i="5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5" i="3"/>
  <c r="E45" i="2" l="1"/>
  <c r="E35" i="2"/>
  <c r="E30" i="2"/>
  <c r="E28" i="2"/>
  <c r="E24" i="2"/>
  <c r="E21" i="2"/>
  <c r="E18" i="2"/>
  <c r="E14" i="2"/>
  <c r="E13" i="2"/>
  <c r="E12" i="2"/>
  <c r="E9" i="2"/>
  <c r="E6" i="2"/>
  <c r="E42" i="2" l="1"/>
  <c r="E46" i="2"/>
  <c r="E58" i="2"/>
  <c r="E29" i="2"/>
  <c r="E47" i="2"/>
  <c r="E8" i="2"/>
  <c r="E15" i="2"/>
  <c r="E23" i="2"/>
  <c r="E10" i="2"/>
  <c r="E11" i="2"/>
  <c r="E56" i="2"/>
  <c r="E63" i="2"/>
  <c r="E43" i="2"/>
  <c r="E59" i="2"/>
  <c r="E37" i="2"/>
  <c r="E48" i="2"/>
  <c r="E60" i="2"/>
  <c r="E38" i="2"/>
  <c r="E16" i="2"/>
  <c r="E26" i="2"/>
  <c r="E31" i="2"/>
  <c r="E49" i="2"/>
  <c r="E54" i="2"/>
  <c r="E61" i="2"/>
  <c r="E36" i="2"/>
  <c r="E17" i="2"/>
  <c r="E27" i="2"/>
  <c r="E32" i="2"/>
  <c r="E50" i="2"/>
  <c r="E55" i="2"/>
  <c r="E33" i="2"/>
  <c r="E39" i="2"/>
  <c r="E51" i="2"/>
  <c r="E62" i="2"/>
  <c r="E19" i="2"/>
  <c r="E25" i="2"/>
  <c r="E40" i="2"/>
  <c r="E44" i="2"/>
  <c r="E52" i="2"/>
  <c r="E20" i="2"/>
  <c r="E34" i="2"/>
  <c r="E41" i="2"/>
  <c r="E53" i="2"/>
  <c r="E57" i="2"/>
  <c r="C5" i="2"/>
  <c r="E5" i="2" s="1"/>
  <c r="E2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Mujahid Abdullah</author>
  </authors>
  <commentList>
    <comment ref="A5" authorId="0" shapeId="0" xr:uid="{3E12D1DE-D0B2-420A-9084-5FA79787D782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6" authorId="0" shapeId="0" xr:uid="{2F524109-B6D1-48DE-A153-83A977485D9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7" authorId="0" shapeId="0" xr:uid="{17DC5FCE-1CF7-40F0-B091-EDA94E9C973A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8" authorId="0" shapeId="0" xr:uid="{9DAB4889-4620-4EFE-B928-3928A75FB34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9" authorId="0" shapeId="0" xr:uid="{C3B67FF8-ACF2-442B-8881-D3B712134005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0" authorId="0" shapeId="0" xr:uid="{01BAA3C9-6677-4962-AC81-8FBA535524D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1" authorId="0" shapeId="0" xr:uid="{F100882F-4BD9-4823-8A8B-9CA82EE2B6D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2" authorId="0" shapeId="0" xr:uid="{65CAC5C3-A110-4BF1-A79A-75034B50510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3" authorId="0" shapeId="0" xr:uid="{47208182-E494-46EA-8D2B-FCDE6D072D0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4" authorId="0" shapeId="0" xr:uid="{3AA121CB-2CB6-403C-A15B-4EF68D640ED8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5" authorId="0" shapeId="0" xr:uid="{4A5FB611-5BFD-43D6-B056-3B5845B42C6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6" authorId="0" shapeId="0" xr:uid="{8FECAA7D-1846-4ED6-8EA8-C74D2B760AC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7" authorId="0" shapeId="0" xr:uid="{EC511B95-BADD-49A8-8521-FACA8954079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8" authorId="0" shapeId="0" xr:uid="{7C00DE38-5F1A-4BA2-A57E-F01FC2D5929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19" authorId="0" shapeId="0" xr:uid="{65B4DA61-F10B-4DE7-8C86-D7F880A765C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0" authorId="0" shapeId="0" xr:uid="{C7A07D2E-C929-4874-97E6-643895906731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1" authorId="0" shapeId="0" xr:uid="{8BDEFB4A-759B-428F-8F69-1AE890DC033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2" authorId="0" shapeId="0" xr:uid="{BC4D2E66-E30B-4075-96C5-69C60A67D655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3" authorId="0" shapeId="0" xr:uid="{002AF4C6-4584-46A4-8DDD-5431A03791A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4" authorId="0" shapeId="0" xr:uid="{ECAD21F2-E0EA-4966-A1DA-3178F2E9AD7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5" authorId="0" shapeId="0" xr:uid="{1A94F471-2AEC-41FE-B8B1-59EA3CC2AEF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6" authorId="0" shapeId="0" xr:uid="{E588481C-0315-4611-8CB4-1F10173F8D3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7" authorId="0" shapeId="0" xr:uid="{C3D42AAB-9B84-4558-89A1-868FE137971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8" authorId="0" shapeId="0" xr:uid="{9E7274FE-6137-4809-8963-A2364E0AAA1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29" authorId="0" shapeId="0" xr:uid="{AEB6EA1A-E8EC-4482-AF9B-C35EA6BA6A38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0" authorId="0" shapeId="0" xr:uid="{6E1DF7D5-B380-4AD6-81AF-A5AC485B31E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1" authorId="0" shapeId="0" xr:uid="{8B893D3F-8835-485F-BCF9-63352D4EF5E2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2" authorId="0" shapeId="0" xr:uid="{F711CD1C-BED5-43A5-956A-C82A94AA559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3" authorId="0" shapeId="0" xr:uid="{3B93C4ED-8FC6-492B-9584-075E94ED4C57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4" authorId="0" shapeId="0" xr:uid="{D251B564-564C-4844-9F5A-91A5B6F13D2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5" authorId="0" shapeId="0" xr:uid="{18A51514-0445-4D69-8BFE-42D12D82DE3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6" authorId="0" shapeId="0" xr:uid="{C7FE6FF0-167C-4DD0-B08A-26F0B925FDA5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7" authorId="0" shapeId="0" xr:uid="{BD3E7645-3EE9-409C-B80A-08F30891860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8" authorId="0" shapeId="0" xr:uid="{E4CBD64F-D085-432A-8A9D-55010D8F5538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39" authorId="0" shapeId="0" xr:uid="{43EE2FC6-5EAC-4356-8189-D86EAE368EDD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0" authorId="0" shapeId="0" xr:uid="{D7B5D589-AF83-41A8-9E15-985FF8E7DFF2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1" authorId="0" shapeId="0" xr:uid="{D996B6B1-2F70-40FC-B93F-0AA3BD8C7D1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2" authorId="0" shapeId="0" xr:uid="{39279697-7108-4A70-BA64-61B156900B5A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3" authorId="0" shapeId="0" xr:uid="{3D069FF5-E438-4C15-88E6-B1A159B650DE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4" authorId="0" shapeId="0" xr:uid="{5E2A17EE-B2A1-42BA-A0DD-0A7BE68AAFBB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5" authorId="0" shapeId="0" xr:uid="{39ED430F-C50B-4E66-BAA8-AAAEDF67EF29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6" authorId="0" shapeId="0" xr:uid="{9C146860-D011-49D4-AFA6-AD0C7F555082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7" authorId="0" shapeId="0" xr:uid="{E1EFC268-4EF3-4125-A4A3-389069F7635A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8" authorId="0" shapeId="0" xr:uid="{ACD8B9FB-1457-4580-A685-7E636161B641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49" authorId="0" shapeId="0" xr:uid="{BF29E713-6221-4AC3-B97B-6C7B7152FBA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0" authorId="0" shapeId="0" xr:uid="{8947BE3A-DA2E-491B-AC2E-E956131C84F0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1" authorId="0" shapeId="0" xr:uid="{A6E9D493-E2DA-43D6-A9BA-37CA2C85B5FE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2" authorId="0" shapeId="0" xr:uid="{03641614-E772-4C34-868E-33F74FC0F98E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3" authorId="0" shapeId="0" xr:uid="{A146CD93-685C-42E7-A8E5-228B46618C4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4" authorId="0" shapeId="0" xr:uid="{AA196E25-2F36-41B0-A76A-4F5EE8D62F26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5" authorId="0" shapeId="0" xr:uid="{56CE610F-5B15-4436-9DFC-6C6CF8CF5054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6" authorId="0" shapeId="0" xr:uid="{72D2B9CD-45C7-4E46-90DC-698571AB91EF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7" authorId="0" shapeId="0" xr:uid="{2EFCFE23-5900-4425-AEFA-5AFFB2F4FB2F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8" authorId="0" shapeId="0" xr:uid="{DA37BE06-2101-4517-B5FB-DB88D94AE0BF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59" authorId="0" shapeId="0" xr:uid="{A7EA2BEC-6F76-4A06-A7F7-2370F4B05341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60" authorId="0" shapeId="0" xr:uid="{5485AE8F-8249-427F-B617-C436BD2C285C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61" authorId="0" shapeId="0" xr:uid="{6FD91223-7D7A-485D-A03A-0D02CD946C98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62" authorId="0" shapeId="0" xr:uid="{4B9853D4-925C-4994-A3DC-8A62B3D31D13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  <comment ref="A63" authorId="0" shapeId="0" xr:uid="{BC027649-216F-446F-ACC6-D8060F02F91E}">
      <text>
        <r>
          <rPr>
            <b/>
            <sz val="9"/>
            <color indexed="81"/>
            <rFont val="Tahoma"/>
            <family val="2"/>
          </rPr>
          <t>Mujahid Abdullah:</t>
        </r>
        <r>
          <rPr>
            <sz val="9"/>
            <color indexed="81"/>
            <rFont val="Tahoma"/>
            <family val="2"/>
          </rPr>
          <t xml:space="preserve">
Received 14 from AHKF Stock
</t>
        </r>
      </text>
    </comment>
  </commentList>
</comments>
</file>

<file path=xl/sharedStrings.xml><?xml version="1.0" encoding="utf-8"?>
<sst xmlns="http://schemas.openxmlformats.org/spreadsheetml/2006/main" count="483" uniqueCount="139">
  <si>
    <t>AHKF Monthly Stationery Stock Report Dhouk Hassu</t>
  </si>
  <si>
    <t>Month of April 2026</t>
  </si>
  <si>
    <t>Opening Stock</t>
  </si>
  <si>
    <t>Balance Stock</t>
  </si>
  <si>
    <t>Minimum Stock to be Kept</t>
  </si>
  <si>
    <t>Procurement Suggestion</t>
  </si>
  <si>
    <t xml:space="preserve">Stock IN </t>
  </si>
  <si>
    <t>Stock OUT</t>
  </si>
  <si>
    <t>Product Name</t>
  </si>
  <si>
    <t xml:space="preserve">Balance Quantity </t>
  </si>
  <si>
    <t xml:space="preserve">Date </t>
  </si>
  <si>
    <t xml:space="preserve">Product Name </t>
  </si>
  <si>
    <t xml:space="preserve">Quantity </t>
  </si>
  <si>
    <t xml:space="preserve">Status </t>
  </si>
  <si>
    <t xml:space="preserve">Everyday Milk Powder(850 Grams) </t>
  </si>
  <si>
    <t xml:space="preserve">White Sugar Kg </t>
  </si>
  <si>
    <t xml:space="preserve">Tea (Open)(500 Grams) Pkt  </t>
  </si>
  <si>
    <t>Green Tea (25 Bags) Pkt</t>
  </si>
  <si>
    <t>________________________</t>
  </si>
  <si>
    <t>Prepared By</t>
  </si>
  <si>
    <t>Checked By</t>
  </si>
  <si>
    <t>Reviewed By</t>
  </si>
  <si>
    <t>Atiqa Saeed</t>
  </si>
  <si>
    <t>Muhammad Saadat</t>
  </si>
  <si>
    <t>Zeeshan Nasar</t>
  </si>
  <si>
    <t>Admin Cum Program Assistant</t>
  </si>
  <si>
    <t>Sr. Admin Officer</t>
  </si>
  <si>
    <t>Operations Manager</t>
  </si>
  <si>
    <t xml:space="preserve">AHKF Monthly Stationery Stock Report Dhouk Hassu  </t>
  </si>
  <si>
    <t>Phynenyl  (2.75 Lit)</t>
  </si>
  <si>
    <t xml:space="preserve">Broom-Phool Jharoo </t>
  </si>
  <si>
    <t>Broom-Jharoo (Bamboo)</t>
  </si>
  <si>
    <t>Brush Cleaning with Rode (Jala)</t>
  </si>
  <si>
    <t xml:space="preserve">Duster Cloth </t>
  </si>
  <si>
    <t xml:space="preserve">Harpic (750 ml) bottle </t>
  </si>
  <si>
    <t>Hand Washing Soap (Large size)</t>
  </si>
  <si>
    <t>Hand Wash Liquid (1 Liter)</t>
  </si>
  <si>
    <t>Scotch Brite</t>
  </si>
  <si>
    <t>Lemon Max (275 ML)</t>
  </si>
  <si>
    <t>Wiper (Large size)</t>
  </si>
  <si>
    <t>Wiper for Washroom (Small size)</t>
  </si>
  <si>
    <t>Mop (Dry)</t>
  </si>
  <si>
    <t>Mop (Wet)</t>
  </si>
  <si>
    <t>Surf  (500 GRM) Pkt</t>
  </si>
  <si>
    <t xml:space="preserve">Sweep Tiger Bottle </t>
  </si>
  <si>
    <t xml:space="preserve">Glint (500 ML) </t>
  </si>
  <si>
    <t xml:space="preserve">Air Freshener Bottle Pack  </t>
  </si>
  <si>
    <t>Air Freshner (Air Wick)</t>
  </si>
  <si>
    <t>Mortien Spray</t>
  </si>
  <si>
    <t>Disposable Glass</t>
  </si>
  <si>
    <t xml:space="preserve">Tissue Box Rose Petal  Box </t>
  </si>
  <si>
    <t xml:space="preserve">Toilet Roll Tissues  Roll Pack </t>
  </si>
  <si>
    <t>Towel (Medium)</t>
  </si>
  <si>
    <t>Dust Bin</t>
  </si>
  <si>
    <t>Dust Bin Bags (5 kg size)</t>
  </si>
  <si>
    <t>Garbage Bags (20 Kg size)</t>
  </si>
  <si>
    <t>Dust Pan</t>
  </si>
  <si>
    <t xml:space="preserve">Toilet Brush </t>
  </si>
  <si>
    <t>Toilet Plunger</t>
  </si>
  <si>
    <t>Admin Cum Program</t>
  </si>
  <si>
    <t xml:space="preserve">Procurement Sugestions </t>
  </si>
  <si>
    <t>AHKF Card Folder A/4</t>
  </si>
  <si>
    <t>AHKF Envelopes A/4</t>
  </si>
  <si>
    <t>AHKF Envelopes F/5</t>
  </si>
  <si>
    <t>AHKF Envelopes L/S</t>
  </si>
  <si>
    <t>AHKRC Card Folder A/4</t>
  </si>
  <si>
    <t>AHKRC Envelopes A/4</t>
  </si>
  <si>
    <t>AHKRC Envelopes F/5</t>
  </si>
  <si>
    <t>AHKRC Envelopes L/S</t>
  </si>
  <si>
    <t>Arrow Flags</t>
  </si>
  <si>
    <t>Ball Point</t>
  </si>
  <si>
    <t>Binder clips (Large)</t>
  </si>
  <si>
    <t>Binder clips (Medium)</t>
  </si>
  <si>
    <t>Binder clips (Small)</t>
  </si>
  <si>
    <t>Binding Tape (2")</t>
  </si>
  <si>
    <t>Board Eraser</t>
  </si>
  <si>
    <t>Board Marker</t>
  </si>
  <si>
    <t>Board Push Pin</t>
  </si>
  <si>
    <t xml:space="preserve">Box File </t>
  </si>
  <si>
    <t>Calculator (Casio)(Medium)</t>
  </si>
  <si>
    <t xml:space="preserve">Color Page (A/4) Pkt </t>
  </si>
  <si>
    <t>Double Tape</t>
  </si>
  <si>
    <t>Eraser</t>
  </si>
  <si>
    <t>File Folder (Button Plastic)</t>
  </si>
  <si>
    <t>Highlighter Pen</t>
  </si>
  <si>
    <t>Ink Pot</t>
  </si>
  <si>
    <t>Inkpad</t>
  </si>
  <si>
    <t>Led Pencil</t>
  </si>
  <si>
    <t>Letter Dispatched Register</t>
  </si>
  <si>
    <t>Letter Receiving Register</t>
  </si>
  <si>
    <t>Masking Paper Tape (1")</t>
  </si>
  <si>
    <t>Masking Paper Tape (2")</t>
  </si>
  <si>
    <t>Masking Paper Tape (5")</t>
  </si>
  <si>
    <t>Masking Paper Tape (7")</t>
  </si>
  <si>
    <t>Paper clip (30 mm)</t>
  </si>
  <si>
    <t>Paper cutter</t>
  </si>
  <si>
    <t xml:space="preserve">Paper Rim A/4 (AA) 80 Grm </t>
  </si>
  <si>
    <t xml:space="preserve">Pen Holder </t>
  </si>
  <si>
    <t>Permanent Marker</t>
  </si>
  <si>
    <t>Punch Machine</t>
  </si>
  <si>
    <t>Register Offset</t>
  </si>
  <si>
    <t>Rubber Band</t>
  </si>
  <si>
    <t>Scale (Steel)</t>
  </si>
  <si>
    <t>Scissor</t>
  </si>
  <si>
    <t>Scotch Tape (2")</t>
  </si>
  <si>
    <t>Scotch Tape (5")</t>
  </si>
  <si>
    <t>Scotch Tape (Small)</t>
  </si>
  <si>
    <t>Seperator Set</t>
  </si>
  <si>
    <t>Sharpner</t>
  </si>
  <si>
    <t>Staple pin remover (0508)</t>
  </si>
  <si>
    <t xml:space="preserve">Stapler Machine   </t>
  </si>
  <si>
    <t>Stapler Pin (Dollar)(Size: 24/6)</t>
  </si>
  <si>
    <t>Stationery Register</t>
  </si>
  <si>
    <t>Sticky Note (3x1)</t>
  </si>
  <si>
    <t>Sticky Note (3x3)</t>
  </si>
  <si>
    <t>Thumb pins</t>
  </si>
  <si>
    <t>UHU Stick (21 gm)</t>
  </si>
  <si>
    <t>UHU Stick (Small)</t>
  </si>
  <si>
    <t>Whitner (Correction Pen)</t>
  </si>
  <si>
    <t>Writing Pad (Small)</t>
  </si>
  <si>
    <t xml:space="preserve">AHKF Monthly Stationery Stock Report Dhouk Hassu </t>
  </si>
  <si>
    <t>March 2026</t>
  </si>
  <si>
    <t>Groceries  M/O March 2026</t>
  </si>
  <si>
    <t>Janitorial M/O March 2026</t>
  </si>
  <si>
    <t>Stationery M/O March 26</t>
  </si>
  <si>
    <t xml:space="preserve">Unit Price </t>
  </si>
  <si>
    <t xml:space="preserve">Total Cost </t>
  </si>
  <si>
    <t>Tea Black (100 Bags) Pkt</t>
  </si>
  <si>
    <t>Coffee (Nescafe 200 gm) Jar</t>
  </si>
  <si>
    <t xml:space="preserve">Biscuit (Half Rolls)  </t>
  </si>
  <si>
    <t>Grand total</t>
  </si>
  <si>
    <t>Box File (Blue color)</t>
  </si>
  <si>
    <t>Grand Total</t>
  </si>
  <si>
    <t>Folders Printer (AHKF)</t>
  </si>
  <si>
    <t>Folders Printer (AHKRC)</t>
  </si>
  <si>
    <t>Note pad (RADS Printed)</t>
  </si>
  <si>
    <t>Staple pin remover (small)</t>
  </si>
  <si>
    <t>Stapler (Heavy duty)</t>
  </si>
  <si>
    <t>Vehicle Log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</si>
</sst>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]dd\-mmm\-yyyy;@" x16r2:formatCode16="[$-en-PK,1]dd\-mmm\-yyyy;@"/>
  </numFmts>
  <fonts count="15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73">
    <xf numFmtId="0" fontId="0" fillId="0" borderId="0" xfId="0"/>
    <xf numFmtId="0" fontId="9" fillId="5" borderId="7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164" fontId="11" fillId="0" borderId="7" xfId="0" applyNumberFormat="1" applyFont="1" applyBorder="1"/>
    <xf numFmtId="164" fontId="11" fillId="0" borderId="1" xfId="0" applyNumberFormat="1" applyFont="1" applyBorder="1"/>
    <xf numFmtId="0" fontId="11" fillId="0" borderId="1" xfId="0" applyFont="1" applyBorder="1"/>
    <xf numFmtId="0" fontId="11" fillId="5" borderId="7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2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wrapText="1"/>
    </xf>
    <xf numFmtId="0" fontId="11" fillId="8" borderId="0" xfId="0" applyFont="1" applyFill="1"/>
    <xf numFmtId="0" fontId="11" fillId="0" borderId="0" xfId="0" applyFont="1"/>
    <xf numFmtId="0" fontId="11" fillId="0" borderId="1" xfId="0" applyFont="1" applyBorder="1" applyAlignment="1">
      <alignment wrapText="1"/>
    </xf>
    <xf numFmtId="0" fontId="12" fillId="8" borderId="1" xfId="0" applyFont="1" applyFill="1" applyBorder="1" applyAlignment="1">
      <alignment horizontal="center"/>
    </xf>
    <xf numFmtId="0" fontId="12" fillId="8" borderId="0" xfId="0" applyFont="1" applyFill="1"/>
    <xf numFmtId="43" fontId="11" fillId="0" borderId="1" xfId="0" applyNumberFormat="1" applyFont="1" applyBorder="1" applyAlignment="1">
      <alignment horizontal="center"/>
    </xf>
    <xf numFmtId="43" fontId="11" fillId="0" borderId="1" xfId="1" applyFont="1" applyBorder="1" applyAlignment="1">
      <alignment horizontal="center"/>
    </xf>
    <xf numFmtId="0" fontId="9" fillId="0" borderId="0" xfId="0" applyFont="1"/>
    <xf numFmtId="43" fontId="11" fillId="9" borderId="3" xfId="1" applyFont="1" applyFill="1" applyBorder="1" applyAlignment="1">
      <alignment horizontal="center" vertical="center" wrapText="1"/>
    </xf>
    <xf numFmtId="43" fontId="11" fillId="9" borderId="1" xfId="1" applyFont="1" applyFill="1" applyBorder="1" applyAlignment="1">
      <alignment horizontal="center" vertical="center" wrapText="1"/>
    </xf>
    <xf numFmtId="43" fontId="11" fillId="9" borderId="1" xfId="1" applyFont="1" applyFill="1" applyBorder="1" applyAlignment="1">
      <alignment vertical="center" wrapText="1"/>
    </xf>
    <xf numFmtId="43" fontId="11" fillId="9" borderId="1" xfId="1" applyFont="1" applyFill="1" applyBorder="1" applyAlignment="1">
      <alignment horizontal="right" vertical="center"/>
    </xf>
    <xf numFmtId="43" fontId="14" fillId="0" borderId="3" xfId="1" applyFont="1" applyBorder="1" applyAlignment="1">
      <alignment horizontal="center"/>
    </xf>
    <xf numFmtId="43" fontId="14" fillId="0" borderId="1" xfId="1" applyFont="1" applyBorder="1" applyAlignment="1">
      <alignment horizontal="center"/>
    </xf>
    <xf numFmtId="43" fontId="12" fillId="0" borderId="1" xfId="0" applyNumberFormat="1" applyFont="1" applyBorder="1"/>
    <xf numFmtId="43" fontId="8" fillId="0" borderId="1" xfId="0" applyNumberFormat="1" applyFont="1" applyBorder="1"/>
    <xf numFmtId="0" fontId="11" fillId="0" borderId="0" xfId="0" applyFont="1" applyAlignment="1">
      <alignment horizontal="center"/>
    </xf>
    <xf numFmtId="0" fontId="4" fillId="4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 wrapText="1"/>
    </xf>
    <xf numFmtId="0" fontId="12" fillId="2" borderId="3" xfId="0" applyFont="1" applyFill="1" applyBorder="1" applyAlignment="1">
      <alignment horizontal="center" wrapText="1"/>
    </xf>
    <xf numFmtId="0" fontId="12" fillId="7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 wrapText="1"/>
    </xf>
    <xf numFmtId="0" fontId="11" fillId="3" borderId="3" xfId="0" applyFont="1" applyFill="1" applyBorder="1" applyAlignment="1">
      <alignment horizontal="center" wrapText="1"/>
    </xf>
    <xf numFmtId="0" fontId="1" fillId="4" borderId="10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wrapText="1"/>
    </xf>
    <xf numFmtId="0" fontId="9" fillId="3" borderId="3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5" borderId="7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5" fillId="4" borderId="10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center" wrapText="1"/>
    </xf>
    <xf numFmtId="0" fontId="12" fillId="6" borderId="3" xfId="0" applyFont="1" applyFill="1" applyBorder="1" applyAlignment="1">
      <alignment horizontal="center" wrapText="1"/>
    </xf>
    <xf numFmtId="0" fontId="12" fillId="2" borderId="8" xfId="0" applyFont="1" applyFill="1" applyBorder="1" applyAlignment="1">
      <alignment horizontal="center" wrapText="1"/>
    </xf>
    <xf numFmtId="0" fontId="12" fillId="2" borderId="9" xfId="0" applyFont="1" applyFill="1" applyBorder="1" applyAlignment="1">
      <alignment horizontal="center" wrapText="1"/>
    </xf>
    <xf numFmtId="0" fontId="12" fillId="5" borderId="7" xfId="0" applyFont="1" applyFill="1" applyBorder="1" applyAlignment="1">
      <alignment horizontal="center"/>
    </xf>
    <xf numFmtId="0" fontId="10" fillId="8" borderId="11" xfId="0" applyFont="1" applyFill="1" applyBorder="1" applyAlignment="1">
      <alignment horizontal="center"/>
    </xf>
    <xf numFmtId="0" fontId="10" fillId="8" borderId="12" xfId="0" applyFont="1" applyFill="1" applyBorder="1" applyAlignment="1">
      <alignment horizontal="center"/>
    </xf>
    <xf numFmtId="0" fontId="10" fillId="8" borderId="13" xfId="0" applyFont="1" applyFill="1" applyBorder="1" applyAlignment="1">
      <alignment horizontal="center"/>
    </xf>
    <xf numFmtId="49" fontId="7" fillId="8" borderId="11" xfId="0" applyNumberFormat="1" applyFont="1" applyFill="1" applyBorder="1" applyAlignment="1">
      <alignment horizontal="center"/>
    </xf>
    <xf numFmtId="49" fontId="7" fillId="8" borderId="12" xfId="0" applyNumberFormat="1" applyFont="1" applyFill="1" applyBorder="1" applyAlignment="1">
      <alignment horizontal="center"/>
    </xf>
    <xf numFmtId="49" fontId="7" fillId="8" borderId="13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8" borderId="10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fgColor theme="0"/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fgColor theme="0"/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/>
      </font>
      <fill>
        <patternFill>
          <fgColor theme="0"/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A6E1"/>
      <color rgb="FFF7FBAF"/>
      <color rgb="FFD1B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12" Type="http://schemas.openxmlformats.org/officeDocument/2006/relationships/image" Target="../media/image6.png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1" Type="http://schemas.openxmlformats.org/officeDocument/2006/relationships/customXml" Target="../ink/ink6.xml"/><Relationship Id="rId5" Type="http://schemas.openxmlformats.org/officeDocument/2006/relationships/customXml" Target="../ink/ink3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5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customXml" Target="../ink/ink8.xml"/><Relationship Id="rId7" Type="http://schemas.openxmlformats.org/officeDocument/2006/relationships/customXml" Target="../ink/ink10.xml"/><Relationship Id="rId2" Type="http://schemas.openxmlformats.org/officeDocument/2006/relationships/image" Target="../media/image1.png"/><Relationship Id="rId1" Type="http://schemas.openxmlformats.org/officeDocument/2006/relationships/customXml" Target="../ink/ink7.xml"/><Relationship Id="rId6" Type="http://schemas.openxmlformats.org/officeDocument/2006/relationships/image" Target="../media/image8.png"/><Relationship Id="rId5" Type="http://schemas.openxmlformats.org/officeDocument/2006/relationships/customXml" Target="../ink/ink9.xml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ustomXml" Target="../ink/ink12.xml"/><Relationship Id="rId2" Type="http://schemas.openxmlformats.org/officeDocument/2006/relationships/image" Target="../media/image20.png"/><Relationship Id="rId1" Type="http://schemas.openxmlformats.org/officeDocument/2006/relationships/customXml" Target="../ink/ink11.xml"/><Relationship Id="rId5" Type="http://schemas.openxmlformats.org/officeDocument/2006/relationships/customXml" Target="../ink/ink13.xml"/><Relationship Id="rId4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990945</xdr:colOff>
      <xdr:row>9</xdr:row>
      <xdr:rowOff>112080</xdr:rowOff>
    </xdr:from>
    <xdr:to>
      <xdr:col>1</xdr:col>
      <xdr:colOff>991305</xdr:colOff>
      <xdr:row>9</xdr:row>
      <xdr:rowOff>112440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5" name="">
              <a:extLst>
                <a:ext uri="{FF2B5EF4-FFF2-40B4-BE49-F238E27FC236}">
                  <a16:creationId xmlns:a16="http://schemas.microsoft.com/office/drawing/2014/main" id="{11ACD98D-A44F-4387-9D9D-13A942E21CD4}"/>
                </a:ext>
              </a:extLst>
            </xdr14:cNvPr>
            <xdr14:cNvContentPartPr/>
          </xdr14:nvContentPartPr>
          <xdr14:nvPr macro=""/>
          <xdr14:xfrm>
            <a:off x="1838670" y="2579055"/>
            <a:ext cx="360" cy="360"/>
          </xdr14:xfrm>
        </xdr:contentPart>
      </mc:Choice>
      <mc:Fallback xmlns=""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11ACD98D-A44F-4387-9D9D-13A942E21CD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29670" y="257005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609600</xdr:colOff>
      <xdr:row>11</xdr:row>
      <xdr:rowOff>133350</xdr:rowOff>
    </xdr:from>
    <xdr:to>
      <xdr:col>1</xdr:col>
      <xdr:colOff>609600</xdr:colOff>
      <xdr:row>11</xdr:row>
      <xdr:rowOff>133350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2" name="">
              <a:extLst>
                <a:ext uri="{FF2B5EF4-FFF2-40B4-BE49-F238E27FC236}">
                  <a16:creationId xmlns:a16="http://schemas.microsoft.com/office/drawing/2014/main" id="{F0DA26FD-7628-4E06-BF8F-FAB142C694E3}"/>
                </a:ext>
                <a:ext uri="{147F2762-F138-4A5C-976F-8EAC2B608ADB}">
                  <a16:predDERef xmlns:a16="http://schemas.microsoft.com/office/drawing/2014/main" pred="{11ACD98D-A44F-4387-9D9D-13A942E21CD4}"/>
                </a:ext>
              </a:extLst>
            </xdr14:cNvPr>
            <xdr14:cNvContentPartPr/>
          </xdr14:nvContentPartPr>
          <xdr14:nvPr macro=""/>
          <xdr14:xfrm>
            <a:off x="1457325" y="2981325"/>
            <a:ext cx="0" cy="0"/>
          </xdr14:xfrm>
        </xdr:contentPart>
      </mc:Choice>
      <mc:Fallback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F0DA26FD-7628-4E06-BF8F-FAB142C694E3}"/>
                </a:ext>
                <a:ext uri="{147F2762-F138-4A5C-976F-8EAC2B608ADB}">
                  <a16:predDERef xmlns:a16="http://schemas.microsoft.com/office/drawing/2014/main" pred="{11ACD98D-A44F-4387-9D9D-13A942E21CD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57325" y="29813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523875</xdr:colOff>
      <xdr:row>9</xdr:row>
      <xdr:rowOff>95250</xdr:rowOff>
    </xdr:from>
    <xdr:to>
      <xdr:col>1</xdr:col>
      <xdr:colOff>962025</xdr:colOff>
      <xdr:row>12</xdr:row>
      <xdr:rowOff>95250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">
              <a:extLst>
                <a:ext uri="{FF2B5EF4-FFF2-40B4-BE49-F238E27FC236}">
                  <a16:creationId xmlns:a16="http://schemas.microsoft.com/office/drawing/2014/main" id="{816B753E-CBB7-4946-91B9-0DC65E992B73}"/>
                </a:ext>
                <a:ext uri="{147F2762-F138-4A5C-976F-8EAC2B608ADB}">
                  <a16:predDERef xmlns:a16="http://schemas.microsoft.com/office/drawing/2014/main" pred="{F0DA26FD-7628-4E06-BF8F-FAB142C694E3}"/>
                </a:ext>
              </a:extLst>
            </xdr14:cNvPr>
            <xdr14:cNvContentPartPr/>
          </xdr14:nvContentPartPr>
          <xdr14:nvPr macro=""/>
          <xdr14:xfrm>
            <a:off x="1371600" y="2562225"/>
            <a:ext cx="438150" cy="571500"/>
          </xdr14:xfrm>
        </xdr:contentPart>
      </mc:Choice>
      <mc:Fallback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816B753E-CBB7-4946-91B9-0DC65E992B73}"/>
                </a:ext>
                <a:ext uri="{147F2762-F138-4A5C-976F-8EAC2B608ADB}">
                  <a16:predDERef xmlns:a16="http://schemas.microsoft.com/office/drawing/2014/main" pred="{F0DA26FD-7628-4E06-BF8F-FAB142C694E3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62570" y="2553652"/>
              <a:ext cx="455849" cy="5890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485775</xdr:colOff>
      <xdr:row>9</xdr:row>
      <xdr:rowOff>85725</xdr:rowOff>
    </xdr:from>
    <xdr:to>
      <xdr:col>1</xdr:col>
      <xdr:colOff>933450</xdr:colOff>
      <xdr:row>10</xdr:row>
      <xdr:rowOff>38100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6" name="">
              <a:extLst>
                <a:ext uri="{FF2B5EF4-FFF2-40B4-BE49-F238E27FC236}">
                  <a16:creationId xmlns:a16="http://schemas.microsoft.com/office/drawing/2014/main" id="{5232B730-73FE-4CD3-AAB6-19DE63728DF0}"/>
                </a:ext>
                <a:ext uri="{147F2762-F138-4A5C-976F-8EAC2B608ADB}">
                  <a16:predDERef xmlns:a16="http://schemas.microsoft.com/office/drawing/2014/main" pred="{816B753E-CBB7-4946-91B9-0DC65E992B73}"/>
                </a:ext>
              </a:extLst>
            </xdr14:cNvPr>
            <xdr14:cNvContentPartPr/>
          </xdr14:nvContentPartPr>
          <xdr14:nvPr macro=""/>
          <xdr14:xfrm>
            <a:off x="1333500" y="2552700"/>
            <a:ext cx="447675" cy="142875"/>
          </xdr14:xfrm>
        </xdr:contentPart>
      </mc:Choice>
      <mc:Fallback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5232B730-73FE-4CD3-AAB6-19DE63728DF0}"/>
                </a:ext>
                <a:ext uri="{147F2762-F138-4A5C-976F-8EAC2B608ADB}">
                  <a16:predDERef xmlns:a16="http://schemas.microsoft.com/office/drawing/2014/main" pred="{816B753E-CBB7-4946-91B9-0DC65E992B7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324932" y="2544191"/>
              <a:ext cx="465168" cy="1602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438150</xdr:colOff>
      <xdr:row>9</xdr:row>
      <xdr:rowOff>95250</xdr:rowOff>
    </xdr:from>
    <xdr:to>
      <xdr:col>1</xdr:col>
      <xdr:colOff>771525</xdr:colOff>
      <xdr:row>12</xdr:row>
      <xdr:rowOff>114300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7" name="">
              <a:extLst>
                <a:ext uri="{FF2B5EF4-FFF2-40B4-BE49-F238E27FC236}">
                  <a16:creationId xmlns:a16="http://schemas.microsoft.com/office/drawing/2014/main" id="{A947DE5B-50BD-473A-86ED-43B72CCA4911}"/>
                </a:ext>
                <a:ext uri="{147F2762-F138-4A5C-976F-8EAC2B608ADB}">
                  <a16:predDERef xmlns:a16="http://schemas.microsoft.com/office/drawing/2014/main" pred="{5232B730-73FE-4CD3-AAB6-19DE63728DF0}"/>
                </a:ext>
              </a:extLst>
            </xdr14:cNvPr>
            <xdr14:cNvContentPartPr/>
          </xdr14:nvContentPartPr>
          <xdr14:nvPr macro=""/>
          <xdr14:xfrm>
            <a:off x="1285875" y="2562225"/>
            <a:ext cx="333375" cy="590550"/>
          </xdr14:xfrm>
        </xdr:contentPart>
      </mc:Choice>
      <mc:Fallback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A947DE5B-50BD-473A-86ED-43B72CCA4911}"/>
                </a:ext>
                <a:ext uri="{147F2762-F138-4A5C-976F-8EAC2B608ADB}">
                  <a16:predDERef xmlns:a16="http://schemas.microsoft.com/office/drawing/2014/main" pred="{5232B730-73FE-4CD3-AAB6-19DE63728DF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276971" y="2553546"/>
              <a:ext cx="350827" cy="6082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904875</xdr:colOff>
      <xdr:row>1</xdr:row>
      <xdr:rowOff>209550</xdr:rowOff>
    </xdr:from>
    <xdr:to>
      <xdr:col>4</xdr:col>
      <xdr:colOff>981075</xdr:colOff>
      <xdr:row>1</xdr:row>
      <xdr:rowOff>209550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8" name="">
              <a:extLst>
                <a:ext uri="{FF2B5EF4-FFF2-40B4-BE49-F238E27FC236}">
                  <a16:creationId xmlns:a16="http://schemas.microsoft.com/office/drawing/2014/main" id="{7876C2B1-F962-47DE-A72A-95C4D217CFD6}"/>
                </a:ext>
                <a:ext uri="{147F2762-F138-4A5C-976F-8EAC2B608ADB}">
                  <a16:predDERef xmlns:a16="http://schemas.microsoft.com/office/drawing/2014/main" pred="{A947DE5B-50BD-473A-86ED-43B72CCA4911}"/>
                </a:ext>
              </a:extLst>
            </xdr14:cNvPr>
            <xdr14:cNvContentPartPr/>
          </xdr14:nvContentPartPr>
          <xdr14:nvPr macro=""/>
          <xdr14:xfrm>
            <a:off x="5248275" y="514350"/>
            <a:ext cx="76200" cy="0"/>
          </xdr14:xfrm>
        </xdr:contentPart>
      </mc:Choice>
      <mc:Fallback>
        <xdr:pic>
          <xdr:nvPicPr>
            <xdr:cNvPr id="8" name="">
              <a:extLst>
                <a:ext uri="{FF2B5EF4-FFF2-40B4-BE49-F238E27FC236}">
                  <a16:creationId xmlns:a16="http://schemas.microsoft.com/office/drawing/2014/main" id="{7876C2B1-F962-47DE-A72A-95C4D217CFD6}"/>
                </a:ext>
                <a:ext uri="{147F2762-F138-4A5C-976F-8EAC2B608ADB}">
                  <a16:predDERef xmlns:a16="http://schemas.microsoft.com/office/drawing/2014/main" pred="{A947DE5B-50BD-473A-86ED-43B72CCA491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239331" y="514350"/>
              <a:ext cx="9373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1125090</xdr:colOff>
      <xdr:row>36</xdr:row>
      <xdr:rowOff>171390</xdr:rowOff>
    </xdr:from>
    <xdr:to>
      <xdr:col>1</xdr:col>
      <xdr:colOff>1125450</xdr:colOff>
      <xdr:row>36</xdr:row>
      <xdr:rowOff>171750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">
              <a:extLst>
                <a:ext uri="{FF2B5EF4-FFF2-40B4-BE49-F238E27FC236}">
                  <a16:creationId xmlns:a16="http://schemas.microsoft.com/office/drawing/2014/main" id="{7FF28B0D-0ADF-4A5A-9458-CDF6FE2DED6D}"/>
                </a:ext>
              </a:extLst>
            </xdr14:cNvPr>
            <xdr14:cNvContentPartPr/>
          </xdr14:nvContentPartPr>
          <xdr14:nvPr macro=""/>
          <xdr14:xfrm>
            <a:off x="1972815" y="9401115"/>
            <a:ext cx="360" cy="360"/>
          </xdr14:xfrm>
        </xdr:contentPart>
      </mc:Choice>
      <mc:Fallback xmlns="">
        <xdr:pic>
          <xdr:nvPicPr>
            <xdr:cNvPr id="2" name="">
              <a:extLst>
                <a:ext uri="{FF2B5EF4-FFF2-40B4-BE49-F238E27FC236}">
                  <a16:creationId xmlns:a16="http://schemas.microsoft.com/office/drawing/2014/main" id="{7FF28B0D-0ADF-4A5A-9458-CDF6FE2DED6D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963815" y="9392115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323850</xdr:colOff>
      <xdr:row>37</xdr:row>
      <xdr:rowOff>66675</xdr:rowOff>
    </xdr:from>
    <xdr:to>
      <xdr:col>1</xdr:col>
      <xdr:colOff>381000</xdr:colOff>
      <xdr:row>38</xdr:row>
      <xdr:rowOff>161925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">
              <a:extLst>
                <a:ext uri="{FF2B5EF4-FFF2-40B4-BE49-F238E27FC236}">
                  <a16:creationId xmlns:a16="http://schemas.microsoft.com/office/drawing/2014/main" id="{9C32FF14-E886-41A7-8F7E-4C0F0EFED9A2}"/>
                </a:ext>
                <a:ext uri="{147F2762-F138-4A5C-976F-8EAC2B608ADB}">
                  <a16:predDERef xmlns:a16="http://schemas.microsoft.com/office/drawing/2014/main" pred="{7FF28B0D-0ADF-4A5A-9458-CDF6FE2DED6D}"/>
                </a:ext>
              </a:extLst>
            </xdr14:cNvPr>
            <xdr14:cNvContentPartPr/>
          </xdr14:nvContentPartPr>
          <xdr14:nvPr macro=""/>
          <xdr14:xfrm>
            <a:off x="1171575" y="9486900"/>
            <a:ext cx="57150" cy="285750"/>
          </xdr14:xfrm>
        </xdr:contentPart>
      </mc:Choice>
      <mc:Fallback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9C32FF14-E886-41A7-8F7E-4C0F0EFED9A2}"/>
                </a:ext>
                <a:ext uri="{147F2762-F138-4A5C-976F-8EAC2B608ADB}">
                  <a16:predDERef xmlns:a16="http://schemas.microsoft.com/office/drawing/2014/main" pred="{7FF28B0D-0ADF-4A5A-9458-CDF6FE2DED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162949" y="9477776"/>
              <a:ext cx="74762" cy="3036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323850</xdr:colOff>
      <xdr:row>36</xdr:row>
      <xdr:rowOff>142875</xdr:rowOff>
    </xdr:from>
    <xdr:to>
      <xdr:col>1</xdr:col>
      <xdr:colOff>895350</xdr:colOff>
      <xdr:row>39</xdr:row>
      <xdr:rowOff>142875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6" name="">
              <a:extLst>
                <a:ext uri="{FF2B5EF4-FFF2-40B4-BE49-F238E27FC236}">
                  <a16:creationId xmlns:a16="http://schemas.microsoft.com/office/drawing/2014/main" id="{B32B4D86-5654-4B45-8BF6-12C58BFB25DD}"/>
                </a:ext>
                <a:ext uri="{147F2762-F138-4A5C-976F-8EAC2B608ADB}">
                  <a16:predDERef xmlns:a16="http://schemas.microsoft.com/office/drawing/2014/main" pred="{9C32FF14-E886-41A7-8F7E-4C0F0EFED9A2}"/>
                </a:ext>
              </a:extLst>
            </xdr14:cNvPr>
            <xdr14:cNvContentPartPr/>
          </xdr14:nvContentPartPr>
          <xdr14:nvPr macro=""/>
          <xdr14:xfrm>
            <a:off x="1171575" y="9372600"/>
            <a:ext cx="571500" cy="571500"/>
          </xdr14:xfrm>
        </xdr:contentPart>
      </mc:Choice>
      <mc:Fallback>
        <xdr:pic>
          <xdr:nvPicPr>
            <xdr:cNvPr id="6" name="">
              <a:extLst>
                <a:ext uri="{FF2B5EF4-FFF2-40B4-BE49-F238E27FC236}">
                  <a16:creationId xmlns:a16="http://schemas.microsoft.com/office/drawing/2014/main" id="{B32B4D86-5654-4B45-8BF6-12C58BFB25DD}"/>
                </a:ext>
                <a:ext uri="{147F2762-F138-4A5C-976F-8EAC2B608ADB}">
                  <a16:predDERef xmlns:a16="http://schemas.microsoft.com/office/drawing/2014/main" pred="{9C32FF14-E886-41A7-8F7E-4C0F0EFED9A2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162965" y="9363919"/>
              <a:ext cx="589079" cy="5892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171450</xdr:colOff>
      <xdr:row>37</xdr:row>
      <xdr:rowOff>28575</xdr:rowOff>
    </xdr:from>
    <xdr:to>
      <xdr:col>1</xdr:col>
      <xdr:colOff>561975</xdr:colOff>
      <xdr:row>39</xdr:row>
      <xdr:rowOff>76200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7" name="">
              <a:extLst>
                <a:ext uri="{FF2B5EF4-FFF2-40B4-BE49-F238E27FC236}">
                  <a16:creationId xmlns:a16="http://schemas.microsoft.com/office/drawing/2014/main" id="{D55FFBC8-02B6-47BA-8E71-5500A77219A1}"/>
                </a:ext>
                <a:ext uri="{147F2762-F138-4A5C-976F-8EAC2B608ADB}">
                  <a16:predDERef xmlns:a16="http://schemas.microsoft.com/office/drawing/2014/main" pred="{B32B4D86-5654-4B45-8BF6-12C58BFB25DD}"/>
                </a:ext>
              </a:extLst>
            </xdr14:cNvPr>
            <xdr14:cNvContentPartPr/>
          </xdr14:nvContentPartPr>
          <xdr14:nvPr macro=""/>
          <xdr14:xfrm>
            <a:off x="1019175" y="9448800"/>
            <a:ext cx="390525" cy="428625"/>
          </xdr14:xfrm>
        </xdr:contentPart>
      </mc:Choice>
      <mc:Fallback>
        <xdr:pic>
          <xdr:nvPicPr>
            <xdr:cNvPr id="7" name="">
              <a:extLst>
                <a:ext uri="{FF2B5EF4-FFF2-40B4-BE49-F238E27FC236}">
                  <a16:creationId xmlns:a16="http://schemas.microsoft.com/office/drawing/2014/main" id="{D55FFBC8-02B6-47BA-8E71-5500A77219A1}"/>
                </a:ext>
                <a:ext uri="{147F2762-F138-4A5C-976F-8EAC2B608ADB}">
                  <a16:predDERef xmlns:a16="http://schemas.microsoft.com/office/drawing/2014/main" pred="{B32B4D86-5654-4B45-8BF6-12C58BFB25DD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10448" y="9439780"/>
              <a:ext cx="408342" cy="44630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1038630</xdr:colOff>
      <xdr:row>64</xdr:row>
      <xdr:rowOff>56985</xdr:rowOff>
    </xdr:from>
    <xdr:to>
      <xdr:col>1</xdr:col>
      <xdr:colOff>1038990</xdr:colOff>
      <xdr:row>64</xdr:row>
      <xdr:rowOff>57345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">
              <a:extLst>
                <a:ext uri="{FF2B5EF4-FFF2-40B4-BE49-F238E27FC236}">
                  <a16:creationId xmlns:a16="http://schemas.microsoft.com/office/drawing/2014/main" id="{FFC06AE8-79B2-49AE-BAC1-AD1F92293F82}"/>
                </a:ext>
                <a:ext uri="{147F2762-F138-4A5C-976F-8EAC2B608ADB}">
                  <a16:predDERef xmlns:a16="http://schemas.microsoft.com/office/drawing/2014/main" pred="{6CFE2C53-5002-4372-8F9B-8163F2CC8F08}"/>
                </a:ext>
              </a:extLst>
            </xdr14:cNvPr>
            <xdr14:cNvContentPartPr/>
          </xdr14:nvContentPartPr>
          <xdr14:nvPr macro=""/>
          <xdr14:xfrm>
            <a:off x="1857780" y="15382710"/>
            <a:ext cx="360" cy="360"/>
          </xdr14:xfrm>
        </xdr:contentPart>
      </mc:Choice>
      <mc:Fallback xmlns="">
        <xdr:pic>
          <xdr:nvPicPr>
            <xdr:cNvPr id="3" name="">
              <a:extLst>
                <a:ext uri="{FF2B5EF4-FFF2-40B4-BE49-F238E27FC236}">
                  <a16:creationId xmlns:a16="http://schemas.microsoft.com/office/drawing/2014/main" id="{FFC06AE8-79B2-49AE-BAC1-AD1F92293F82}"/>
                </a:ext>
                <a:ext uri="{147F2762-F138-4A5C-976F-8EAC2B608ADB}">
                  <a16:predDERef xmlns:a16="http://schemas.microsoft.com/office/drawing/2014/main" pred="{6CFE2C53-5002-4372-8F9B-8163F2CC8F0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848780" y="1537371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180975</xdr:colOff>
      <xdr:row>63</xdr:row>
      <xdr:rowOff>152400</xdr:rowOff>
    </xdr:from>
    <xdr:to>
      <xdr:col>1</xdr:col>
      <xdr:colOff>1104900</xdr:colOff>
      <xdr:row>68</xdr:row>
      <xdr:rowOff>180975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4" name="">
              <a:extLst>
                <a:ext uri="{FF2B5EF4-FFF2-40B4-BE49-F238E27FC236}">
                  <a16:creationId xmlns:a16="http://schemas.microsoft.com/office/drawing/2014/main" id="{AE9F8379-7623-4C54-B6B8-DAC6D5AD61B5}"/>
                </a:ext>
                <a:ext uri="{147F2762-F138-4A5C-976F-8EAC2B608ADB}">
                  <a16:predDERef xmlns:a16="http://schemas.microsoft.com/office/drawing/2014/main" pred="{FFC06AE8-79B2-49AE-BAC1-AD1F92293F82}"/>
                </a:ext>
              </a:extLst>
            </xdr14:cNvPr>
            <xdr14:cNvContentPartPr/>
          </xdr14:nvContentPartPr>
          <xdr14:nvPr macro=""/>
          <xdr14:xfrm>
            <a:off x="1000125" y="15287625"/>
            <a:ext cx="923925" cy="981075"/>
          </xdr14:xfrm>
        </xdr:contentPart>
      </mc:Choice>
      <mc:Fallback>
        <xdr:pic>
          <xdr:nvPicPr>
            <xdr:cNvPr id="4" name="">
              <a:extLst>
                <a:ext uri="{FF2B5EF4-FFF2-40B4-BE49-F238E27FC236}">
                  <a16:creationId xmlns:a16="http://schemas.microsoft.com/office/drawing/2014/main" id="{AE9F8379-7623-4C54-B6B8-DAC6D5AD61B5}"/>
                </a:ext>
                <a:ext uri="{147F2762-F138-4A5C-976F-8EAC2B608ADB}">
                  <a16:predDERef xmlns:a16="http://schemas.microsoft.com/office/drawing/2014/main" pred="{FFC06AE8-79B2-49AE-BAC1-AD1F92293F8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91487" y="15278988"/>
              <a:ext cx="941561" cy="9987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247650</xdr:colOff>
      <xdr:row>71</xdr:row>
      <xdr:rowOff>152400</xdr:rowOff>
    </xdr:from>
    <xdr:to>
      <xdr:col>4</xdr:col>
      <xdr:colOff>247650</xdr:colOff>
      <xdr:row>71</xdr:row>
      <xdr:rowOff>152400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5" name="">
              <a:extLst>
                <a:ext uri="{FF2B5EF4-FFF2-40B4-BE49-F238E27FC236}">
                  <a16:creationId xmlns:a16="http://schemas.microsoft.com/office/drawing/2014/main" id="{F756AC06-CEEF-4F5E-9E51-CB0BB8147CED}"/>
                </a:ext>
                <a:ext uri="{147F2762-F138-4A5C-976F-8EAC2B608ADB}">
                  <a16:predDERef xmlns:a16="http://schemas.microsoft.com/office/drawing/2014/main" pred="{AE9F8379-7623-4C54-B6B8-DAC6D5AD61B5}"/>
                </a:ext>
              </a:extLst>
            </xdr14:cNvPr>
            <xdr14:cNvContentPartPr/>
          </xdr14:nvContentPartPr>
          <xdr14:nvPr macro=""/>
          <xdr14:xfrm>
            <a:off x="4924425" y="16811625"/>
            <a:ext cx="0" cy="0"/>
          </xdr14:xfrm>
        </xdr:contentPart>
      </mc:Choice>
      <mc:Fallback>
        <xdr:pic>
          <xdr:nvPicPr>
            <xdr:cNvPr id="5" name="">
              <a:extLst>
                <a:ext uri="{FF2B5EF4-FFF2-40B4-BE49-F238E27FC236}">
                  <a16:creationId xmlns:a16="http://schemas.microsoft.com/office/drawing/2014/main" id="{F756AC06-CEEF-4F5E-9E51-CB0BB8147CED}"/>
                </a:ext>
                <a:ext uri="{147F2762-F138-4A5C-976F-8EAC2B608ADB}">
                  <a16:predDERef xmlns:a16="http://schemas.microsoft.com/office/drawing/2014/main" pred="{AE9F8379-7623-4C54-B6B8-DAC6D5AD61B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924425" y="16811625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06T11:19:25.3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5106 5741 16383 0 0,'0'0'0'0'0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4048 5302 16383 0 0,'0'0'0'0'0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4027 5302 16383 0 0,'-4'-3'0'0'0,"0"-9"0"0"0,-5-2 0 0 0,1-3 0 0 0,1-1 0 0 0,-2-2 0 0 0,1-1 0 0 0,1 0 0 0 0,2-4 0 0 0,-1-2 0 0 0,0 1 0 0 0,1 1 0 0 0,-2 5 0 0 0,-1 2 0 0 0,3 0 0 0 0,0 0 0 0 0,-1 0 0 0 0,0-2 0 0 0,1 0 0 0 0,1 0 0 0 0,-2-1 0 0 0,0-1 0 0 0,1 1 0 0 0,1 0 0 0 0,2-1 0 0 0,0 1 0 0 0,2 0 0 0 0,0 0 0 0 0,0-1 0 0 0,0 1 0 0 0,0 0 0 0 0,0 0 0 0 0,1 0 0 0 0,-1 0 0 0 0,-4-1 0 0 0,-1 1 0 0 0,1 0 0 0 0,0 0 0 0 0,2 0 0 0 0,-4 3 0 0 0,1 2 0 0 0,0-1 0 0 0,1 0 0 0 0,-2 2 0 0 0,0 0 0 0 0,1-1 0 0 0,1-1 0 0 0,1-1 0 0 0,2 5 0 0 0,0 9 0 0 0,5 6 0 0 0,1 5 0 0 0,3 9 0 0 0,1 5 0 0 0,2 3 0 0 0,3 1 0 0 0,2-4 0 0 0,3-2 0 0 0,1 0 0 0 0,1 0 0 0 0,-3 0 0 0 0,3 1 0 0 0,0 4 0 0 0,2 1 0 0 0,-1 1 0 0 0,1-5 0 0 0,-5-2 0 0 0,-1-1 0 0 0,0 1 0 0 0,-3 0 0 0 0,0 0 0 0 0,1 2 0 0 0,2 3 0 0 0,4 5 0 0 0,0 2 0 0 0,-1 2 0 0 0,4-1 0 0 0,-3 2 0 0 0,0-2 0 0 0,-5 1 0 0 0,-1-1 0 0 0,-3-3 0 0 0,0-6 0 0 0,-2-4 0 0 0,0-1 0 0 0,0 0 0 0 0,-3 1 0 0 0,-2 0 0 0 0,-3-3 0 0 0</inkml:trace>
  <inkml:trace contextRef="#ctx0" brushRef="#br0" timeOffset="0.2">4408 5239 16383 0 0,'0'0'0'0'0</inkml:trace>
  <inkml:trace contextRef="#ctx0" brushRef="#br0" timeOffset="0.31">3942 5048 16383 0 0,'0'0'0'0'0</inkml:trace>
  <inkml:trace contextRef="#ctx0" brushRef="#br0" timeOffset="0.33">3942 5048 16383 0 0,'4'0'0'0'0,"4"-3"0"0"0,5-2 0 0 0,0-3 0 0 0,5-1 0 0 0,3 2 0 0 0,2-2 0 0 0,0 1 0 0 0,4 1 0 0 0,0-1 0 0 0,0 1 0 0 0,2 1 0 0 0,0 1 0 0 0,-1 3 0 0 0,-3 0 0 0 0,3-2 0 0 0,0-4 0 0 0,-2-1 0 0 0,2 1 0 0 0,1 2 0 0 0,-2-1 0 0 0,2-1 0 0 0,-1 3 0 0 0,0 1 0 0 0,-3 1 0 0 0,-1-1 0 0 0,-2-2 0 0 0,0 2 0 0 0,-1 0 0 0 0,0-2 0 0 0,0 0 0 0 0,0 1 0 0 0,0-2 0 0 0,0-1 0 0 0,0 2 0 0 0,0 2 0 0 0,0 1 0 0 0,0 2 0 0 0,0 0 0 0 0,-3-2 0 0 0,-5-6 0 0 0,-5-3 0 0 0,-7-1 0 0 0,-4-1 0 0 0,-5 1 0 0 0,-4 0 0 0 0,-5 2 0 0 0,-6 3 0 0 0,-2 2 0 0 0,-2 3 0 0 0,2 1 0 0 0,-4-1 0 0 0,1-2 0 0 0,1 1 0 0 0,-2 1 0 0 0,0 1 0 0 0,1 1 0 0 0,-1 0 0 0 0,1-3 0 0 0,0-1 0 0 0,3 1 0 0 0,-2 0 0 0 0,-1 2 0 0 0,2 1 0 0 0,1 0 0 0 0,2 1 0 0 0,0 0 0 0 0,2 0 0 0 0,3-4 0 0 0,5-4 0 0 0,5-5 0 0 0,4-3 0 0 0,2-3 0 0 0,2-2 0 0 0,1-5 0 0 0,0 0 0 0 0,0-1 0 0 0,0 1 0 0 0,-1-2 0 0 0,1 0 0 0 0,-1-2 0 0 0,0 0 0 0 0,0-2 0 0 0,0 1 0 0 0,0 2 0 0 0,0 2 0 0 0,0 3 0 0 0,0 1 0 0 0,0 1 0 0 0,0 1 0 0 0,0 0 0 0 0,0 1 0 0 0,3 6 0 0 0,6 14 0 0 0,0 13 0 0 0,-1 9 0 0 0,2 10 0 0 0,-1 9 0 0 0,2-1 0 0 0,2 1 0 0 0,-1-3 0 0 0,-2-5 0 0 0,1 0 0 0 0,-3-2 0 0 0,3-4 0 0 0,-2 2 0 0 0,-2-1 0 0 0,2-1 0 0 0,-2-2 0 0 0,-1-2 0 0 0,2-1 0 0 0,3 3 0 0 0,0 1 0 0 0,1 0 0 0 0,-1-2 0 0 0,-3 0 0 0 0,-2-2 0 0 0,-2 4 0 0 0,1-4 0 0 0,0 3 0 0 0,0 0 0 0 0,-2-1 0 0 0,3 0 0 0 0,0-1 0 0 0,2 3 0 0 0,1 0 0 0 0,-2 3 0 0 0,-2 1 0 0 0,-2-2 0 0 0,-1-1 0 0 0,-1-3 0 0 0,2-1 0 0 0,2 3 0 0 0,3 0 0 0 0,0-1 0 0 0,-1 0 0 0 0,1-2 0 0 0,0 0 0 0 0,-1-2 0 0 0,1 1 0 0 0,3-1 0 0 0,0 0 0 0 0,-2 0 0 0 0,1 3 0 0 0,2 2 0 0 0,-1 0 0 0 0,2-1 0 0 0,-2-2 0 0 0,1 4 0 0 0,2-4 0 0 0,-1-2 0 0 0,-3 0 0 0 0,0-1 0 0 0,3 0 0 0 0,2-4 0 0 0,-2 0 0 0 0,2-4 0 0 0,0-3 0 0 0,-1-7 0 0 0,-3-7 0 0 0,-4-7 0 0 0,-3-5 0 0 0,-2-3 0 0 0,-1-1 0 0 0,-2-2 0 0 0,1 1 0 0 0,-1-1 0 0 0,0 1 0 0 0,1 0 0 0 0,0 1 0 0 0,-1-1 0 0 0,1 1 0 0 0,0 0 0 0 0,-3 0 0 0 0,-2 0 0 0 0,-3 3 0 0 0,-1 2 0 0 0,-1-1 0 0 0,-4-4 0 0 0,1-2 0 0 0,-1-1 0 0 0,-1 3 0 0 0,1 3 0 0 0,0 3 0 0 0,2 1 0 0 0,0 0 0 0 0,1-2 0 0 0,0 2 0 0 0,1-1 0 0 0,-1 0 0 0 0,-3-2 0 0 0,-2 2 0 0 0,-1 3 0 0 0,1 1 0 0 0,0 2 0 0 0,-1-2 0 0 0,-1-1 0 0 0,-1 0 0 0 0,-1 3 0 0 0,-1 2 0 0 0,0 3 0 0 0,0 2 0 0 0,7 2 0 0 0,6 3 0 0 0,7 3 0 0 0,9-1 0 0 0,5 2 0 0 0,5 1 0 0 0,-1 2 0 0 0,1 0 0 0 0,0-3 0 0 0,1-1 0 0 0,1-3 0 0 0,0-1 0 0 0,1-1 0 0 0,0-1 0 0 0,0-1 0 0 0,-3-3 0 0 0,-1-1 0 0 0,-4-4 0 0 0,0 1 0 0 0,1 0 0 0 0,-2-1 0 0 0,-3-6 0 0 0,1-1 0 0 0,-1-1 0 0 0,-3-2 0 0 0,-2-1 0 0 0,-2 0 0 0 0,-1-1 0 0 0,0 0 0 0 0,2 3 0 0 0,5 5 0 0 0,5 5 0 0 0,3 3 0 0 0,3 3 0 0 0,2 2 0 0 0,0 0 0 0 0,1 1 0 0 0,0 0 0 0 0,0 0 0 0 0,0-1 0 0 0,0 1 0 0 0,-5-5 0 0 0,-4-4 0 0 0,-5-5 0 0 0,-3-4 0 0 0,-3-2 0 0 0,-2-2 0 0 0,0-1 0 0 0,-1 4 0 0 0</inkml:trace>
  <inkml:trace contextRef="#ctx0" brushRef="#br0" timeOffset="0.86">5022 4710 16383 0 0,'0'0'0'0'0</inkml:trace>
  <inkml:trace contextRef="#ctx0" brushRef="#br0" timeOffset="0.87">5022 4710 16383 0 0,'0'0'0'0'0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4958 4498 16383 0 0,'0'0'0'0'0</inkml:trace>
  <inkml:trace contextRef="#ctx0" brushRef="#br0" timeOffset="0.15">3731 4096 16383 0 0,'0'3'0'0'0,"-4"6"0"0"0,-1 7 0 0 0,-3 6 0 0 0,0-2 0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3688 4117 16383 0 0,'-3'4'0'0'0,"-6"0"0"0"0,0 8 0 0 0,1 5 0 0 0,1-1 0 0 0</inkml:trace>
  <inkml:trace contextRef="#ctx0" brushRef="#br0" timeOffset="0.03">3646 4202 16383 0 0,'0'3'0'0'0,"-4"9"0"0"0,-4 2 0 0 0,-1 3 0 0 0,0 1 0 0 0,-1 2 0 0 0,1 1 0 0 0,-1 0 0 0 0,0 1 0 0 0,3-1 0 0 0,1 1 0 0 0,3-1 0 0 0,2 1 0 0 0,0-1 0 0 0,1 0 0 0 0,1 0 0 0 0,-1 0 0 0 0,1 1 0 0 0,-1-1 0 0 0,0 3 0 0 0,0 10 0 0 0,0 4 0 0 0,0 5 0 0 0,0 1 0 0 0,4 1 0 0 0,1-1 0 0 0,-1 0 0 0 0,0 3 0 0 0,2 1 0 0 0,1-4 0 0 0,-2-6 0 0 0,3-3 0 0 0,-1-3 0 0 0,-1-3 0 0 0,-2-4 0 0 0,-1-2 0 0 0,2-1 0 0 0,4-5 0 0 0,1-1 0 0 0,-2 0 0 0 0,-2 1 0 0 0,1-3 0 0 0,0 4 0 0 0,2 3 0 0 0,0 0 0 0 0,2 1 0 0 0,-2 1 0 0 0,3-1 0 0 0,-2 3 0 0 0,1-2 0 0 0,-1-1 0 0 0,-2-2 0 0 0,4 0 0 0 0,1 0 0 0 0,1 4 0 0 0,-1 2 0 0 0,0-5 0 0 0,-2-1 0 0 0,1-4 0 0 0,-1-2 0 0 0,0-3 0 0 0,-1 1 0 0 0,1-3 0 0 0,6 2 0 0 0,4-2 0 0 0,1-1 0 0 0,2-4 0 0 0,-1-1 0 0 0,3-2 0 0 0,2 0 0 0 0,-2-1 0 0 0,3-1 0 0 0,0-3 0 0 0,-2-1 0 0 0,3-3 0 0 0,-2-1 0 0 0,0 2 0 0 0,-3-2 0 0 0,-5-3 0 0 0,2 0 0 0 0,0 0 0 0 0,0 0 0 0 0,-4 0 0 0 0,-1 2 0 0 0,-3-2 0 0 0,-1 2 0 0 0,-3-1 0 0 0,1 1 0 0 0,-1-1 0 0 0,0 1 0 0 0,0-1 0 0 0,-3-3 0 0 0,-2-2 0 0 0,-2-2 0 0 0,-2 2 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14589 1429 16383 0 0,'0'0'0'0'0</inkml:trace>
  <inkml:trace contextRef="#ctx0" brushRef="#br0" timeOffset="0.02">14589 1429 16383 0 0,'0'0'0'0'0</inkml:trace>
  <inkml:trace contextRef="#ctx0" brushRef="#br0" timeOffset="0.17">14801 1429 16383 0 0,'0'0'0'0'0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06T11:19:25.3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5477 7832 16383 0 0,'0'0'0'0'0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3413 2529 16383 0 0,'0'-3'0'0'0,"0"-6"0"0"0,0-4 0 0 0,0-3 0 0 0,0-3 0 0 0,0-2 0 0 0,0-1 0 0 0,0 0 0 0 0,0 0 0 0 0,-3 3 0 0 0,-2 3 0 0 0,0-1 0 0 0,1-1 0 0 0,-2 3 0 0 0,0 0 0 0 0,0-1 0 0 0,2-1 0 0 0,2-1 0 0 0,-3 2 0 0 0,-1 0 0 0 0,2 0 0 0 0,-4-2 0 0 0,1-1 0 0 0,-2 3 0 0 0,0-3 0 0 0,1-3 0 0 0,3 0 0 0 0,2 0 0 0 0,-2-1 0 0 0,-1-2 0 0 0,-2-6 0 0 0,0 0 0 0 0,1 2 0 0 0,2 1 0 0 0,2 3 0 0 0,1 1 0 0 0,1 2 0 0 0,1 0 0 0 0,-3 1 0 0 0,-1 4 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3244 1556 16383 0 0,'0'3'0'0'0,"3"9"0"0"0,6 6 0 0 0,4 3 0 0 0,3 2 0 0 0,4 4 0 0 0,4 1 0 0 0,-1 0 0 0 0,-1-2 0 0 0,-1 2 0 0 0,0 0 0 0 0,0-1 0 0 0,-1 2 0 0 0,5-1 0 0 0,1 3 0 0 0,-1-1 0 0 0,4-1 0 0 0,-1 0 0 0 0,-1 1 0 0 0,-1 1 0 0 0,-2-1 0 0 0,-1-2 0 0 0,-5-2 0 0 0,-1-1 0 0 0,-4-3 0 0 0,-1 0 0 0 0,2-4 0 0 0,-2-2 0 0 0,1-4 0 0 0,-3 1 0 0 0,-1 0 0 0 0,-4 3 0 0 0,2-2 0 0 0,-1-3 0 0 0</inkml:trace>
  <inkml:trace contextRef="#ctx0" brushRef="#br0" timeOffset="0.21">3286 2106 16383 0 0,'0'0'0'0'0</inkml:trace>
  <inkml:trace contextRef="#ctx0" brushRef="#br0" timeOffset="0.24">3455 2043 16383 0 0,'8'0'0'0'0,"5"-4"0"0"0,4-1 0 0 0,7 1 0 0 0,3-4 0 0 0,0-3 0 0 0,3 0 0 0 0,0 2 0 0 0,-2-1 0 0 0,-2 1 0 0 0,-1 2 0 0 0,1-1 0 0 0,1 0 0 0 0,-1 2 0 0 0,-2 2 0 0 0,0 2 0 0 0,-2 1 0 0 0,-4 0 0 0 0</inkml:trace>
  <inkml:trace contextRef="#ctx0" brushRef="#br0" timeOffset="0.4">3900 1937 16383 0 0,'4'0'0'0'0,"4"0"0"0"0,5 0 0 0 0,0-4 0 0 0,1-1 0 0 0,3-3 0 0 0,1 0 0 0 0,1 1 0 0 0,5-2 0 0 0,2 0 0 0 0,0 3 0 0 0,-1 1 0 0 0,-1 2 0 0 0,-4-2 0 0 0,-3 0 0 0 0,0 1 0 0 0,-3-3 0 0 0,0 0 0 0 0,1 1 0 0 0,1 2 0 0 0,-1-3 0 0 0,-1 1 0 0 0,-1-3 0 0 0,-1 1 0 0 0,2 1 0 0 0,2-2 0 0 0,2-3 0 0 0,2-2 0 0 0,-3-4 0 0 0,-1 3 0 0 0,-3-1 0 0 0,0 3 0 0 0,-5 3 0 0 0,-9 7 0 0 0,-7 8 0 0 0,-10 3 0 0 0,-4 0 0 0 0,-4-1 0 0 0,0-2 0 0 0,5 2 0 0 0,1-1 0 0 0,2-1 0 0 0,-5-1 0 0 0,-1-1 0 0 0,0-2 0 0 0,0 0 0 0 0,1-1 0 0 0,0-1 0 0 0,1 1 0 0 0,1 0 0 0 0,-1 0 0 0 0,1-1 0 0 0,0 1 0 0 0,0 0 0 0 0,0 0 0 0 0,4-3 0 0 0,4-6 0 0 0,5-4 0 0 0,3-3 0 0 0,0 0 0 0 0,0 0 0 0 0,1-1 0 0 0,-3-2 0 0 0,1 0 0 0 0,-3 2 0 0 0,0-2 0 0 0,2-3 0 0 0,2 0 0 0 0,-2-4 0 0 0,0-1 0 0 0,-1 4 0 0 0,-1 2 0 0 0,2 1 0 0 0,2-3 0 0 0,2-1 0 0 0,1 0 0 0 0,2 0 0 0 0,0 0 0 0 0,0 2 0 0 0,0 0 0 0 0,1 0 0 0 0,-1 1 0 0 0,0 0 0 0 0,4 11 0 0 0,4 14 0 0 0,2 14 0 0 0,2 11 0 0 0,2 4 0 0 0,0 0 0 0 0,0 1 0 0 0,2 0 0 0 0,-2-4 0 0 0,0 1 0 0 0,-2-1 0 0 0,1 1 0 0 0,-3-1 0 0 0,1-2 0 0 0,-1-2 0 0 0,1-2 0 0 0,3-1 0 0 0,-2 2 0 0 0,1-3 0 0 0,-2-1 0 0 0,2-1 0 0 0,-3 0 0 0 0,2-4 0 0 0,-2-1 0 0 0,-3 5 0 0 0,2 2 0 0 0,-1 1 0 0 0,1 0 0 0 0,4-4 0 0 0,-2-1 0 0 0,2 3 0 0 0,-1 2 0 0 0,0 0 0 0 0,-1 0 0 0 0,0 4 0 0 0,0 0 0 0 0,-4 0 0 0 0,2 1 0 0 0,2 1 0 0 0,0-1 0 0 0,-2 1 0 0 0,0 0 0 0 0,0-2 0 0 0,1-2 0 0 0,-1 3 0 0 0,2-1 0 0 0,-1-1 0 0 0,5 3 0 0 0,-1-1 0 0 0,2-1 0 0 0,-2-1 0 0 0,0-6 0 0 0,-3-2 0 0 0,1-1 0 0 0,-1 0 0 0 0,0 2 0 0 0,-1 0 0 0 0,-3 1 0 0 0,2-3 0 0 0,-2-1 0 0 0,-1 1 0 0 0,2 0 0 0 0,3-1 0 0 0,-1-2 0 0 0,-1 2 0 0 0,1 2 0 0 0,-1 0 0 0 0,1-2 0 0 0,3-4 0 0 0,2-4 0 0 0,3-3 0 0 0,-2-6 0 0 0,-3-7 0 0 0,-5-5 0 0 0,-3-5 0 0 0,-2-2 0 0 0,-3-1 0 0 0,0-2 0 0 0,0 1 0 0 0,-1 0 0 0 0,0 0 0 0 0,1 0 0 0 0,-1 0 0 0 0,1 1 0 0 0,0 0 0 0 0,0 0 0 0 0,0-1 0 0 0,-4 5 0 0 0,-1 1 0 0 0,-3-1 0 0 0,0 0 0 0 0,-3 2 0 0 0,1 0 0 0 0,2-1 0 0 0,-1 3 0 0 0,1-1 0 0 0,-2-1 0 0 0,-3 2 0 0 0,1-1 0 0 0,-1-1 0 0 0,-2-2 0 0 0,-2-2 0 0 0,-2 3 0 0 0,2 0 0 0 0,1 0 0 0 0,-1-2 0 0 0,0 3 0 0 0,-2 0 0 0 0,-1 2 0 0 0,-1 4 0 0 0,0 4 0 0 0,0 2 0 0 0,0 1 0 0 0,-1 2 0 0 0,1 0 0 0 0,0 1 0 0 0,-1 0 0 0 0,1-1 0 0 0,0 1 0 0 0,0-1 0 0 0,3 4 0 0 0,5 4 0 0 0,5 5 0 0 0,4 4 0 0 0,2 2 0 0 0,1 2 0 0 0,2 1 0 0 0,0 0 0 0 0,3-4 0 0 0,6-4 0 0 0,3-6 0 0 0,4-3 0 0 0,3-3 0 0 0,0-1 0 0 0,2-2 0 0 0,0 0 0 0 0,0 0 0 0 0,0 1 0 0 0,-4-5 0 0 0,-5-3 0 0 0,-1-2 0 0 0,-2-2 0 0 0,-4-3 0 0 0,-2-2 0 0 0,2 2 0 0 0,-1-1 0 0 0,0-1 0 0 0,2 3 0 0 0,0 0 0 0 0,2-2 0 0 0,3 3 0 0 0,0-1 0 0 0,-2-1 0 0 0,-3-2 0 0 0,1 2 0 0 0,-1 0 0 0 0,-2-1 0 0 0,-1-1 0 0 0,2 2 0 0 0,0 7 0 0 0,2 5 0 0 0,1 7 0 0 0,1 2 0 0 0,4 1 0 0 0,2-2 0 0 0,2-1 0 0 0,2-1 0 0 0,1-1 0 0 0,0-2 0 0 0,-2-3 0 0 0,-6-6 0 0 0,-4-4 0 0 0,-4-4 0 0 0,-3-2 0 0 0,-2-2 0 0 0,0-1 0 0 0,-1 0 0 0 0,7 3 0 0 0,6 6 0 0 0,5 4 0 0 0,3 4 0 0 0,2 3 0 0 0,0 1 0 0 0,1 2 0 0 0,-1 0 0 0 0,-3-4 0 0 0,-6-4 0 0 0,-4-6 0 0 0,-4-3 0 0 0,-3-3 0 0 0,-2 2 0 0 0</inkml:trace>
  <inkml:trace contextRef="#ctx0" brushRef="#br0" timeOffset="1.11">4620 1365 16383 0 0,'0'0'0'0'0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3223 1386 16383 0 0,'-4'0'0'0'0,"-1"4"0"0"0,-7 4 0 0 0,-1 5 0 0 0,-2 4 0 0 0,-2 6 0 0 0,-6 2 0 0 0,-2 2 0 0 0,-1 2 0 0 0,5 1 0 0 0,-2 1 0 0 0,-1 0 0 0 0,1 2 0 0 0,4-1 0 0 0,1-3 0 0 0,5-3 0 0 0,0 2 0 0 0,-2 0 0 0 0,3-2 0 0 0,-1 3 0 0 0,2-1 0 0 0,3-1 0 0 0,-1 1 0 0 0,2 1 0 0 0,-3-2 0 0 0,1-2 0 0 0,2-1 0 0 0,3-1 0 0 0,1-1 0 0 0,1-1 0 0 0,2 0 0 0 0,0 0 0 0 0,0-1 0 0 0,0 1 0 0 0,4 0 0 0 0,1 0 0 0 0,0 0 0 0 0,3-3 0 0 0,-1-2 0 0 0,3 1 0 0 0,3 4 0 0 0,3-1 0 0 0,2-1 0 0 0,2 1 0 0 0,1-1 0 0 0,1-2 0 0 0,-1-1 0 0 0,1-4 0 0 0,0-3 0 0 0,-1 1 0 0 0,-3 1 0 0 0,-1-1 0 0 0,-1-1 0 0 0,5 0 0 0 0,3-1 0 0 0,0 2 0 0 0,0-1 0 0 0,-1 2 0 0 0,3-1 0 0 0,1-3 0 0 0,0-1 0 0 0,-2-3 0 0 0,-1-2 0 0 0,-2 0 0 0 0,0-1 0 0 0,0-1 0 0 0,-1 1 0 0 0,0-1 0 0 0,-1 1 0 0 0,1 0 0 0 0,0 0 0 0 0,0 0 0 0 0,1 0 0 0 0,-1 0 0 0 0,0 0 0 0 0,-4-4 0 0 0,3-1 0 0 0,2-3 0 0 0,0 0 0 0 0,-4-3 0 0 0,-4-3 0 0 0,-1 1 0 0 0,0 0 0 0 0,2 1 0 0 0,-1-1 0 0 0,0 2 0 0 0,-2 0 0 0 0,0 1 0 0 0,-1-2 0 0 0,0 3 0 0 0,-1-3 0 0 0,-3-1 0 0 0,2 1 0 0 0,-1-2 0 0 0,1-1 0 0 0,0-2 0 0 0,-2 2 0 0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5-06T11:19:25.29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5159 6932 16383 0 0,'0'0'0'0'0</inkml:trace>
  <inkml:trace contextRef="#ctx0" brushRef="#br0" timeOffset="-2.14748E7">5159 6932 16383 0 0,'0'0'0'0'0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2648 5772 16383 0 0,'0'-10'0'0'0,"-5"-14"0"0"0,-7-13 0 0 0,-1-5 0 0 0,-4-1 0 0 0,1-3 0 0 0,4 1 0 0 0,3 3 0 0 0,4-1 0 0 0,2 1 0 0 0,2 2 0 0 0,1 4 0 0 0,0 2 0 0 0,1-3 0 0 0,-5 5 0 0 0,-3 2 0 0 0,1 2 0 0 0,1 0 0 0 0,2 0 0 0 0,0-1 0 0 0,-3 0 0 0 0,-6 0 0 0 0,-2-1 0 0 0,3 0 0 0 0,2 0 0 0 0,3-6 0 0 0,3-1 0 0 0,1 1 0 0 0,-3 5 0 0 0,-2 4 0 0 0,1 1 0 0 0,2 0 0 0 0,-5 4 0 0 0,1-4 0 0 0,-5-3 0 0 0,1-1 0 0 0,2-2 0 0 0,2 1 0 0 0,4 0 0 0 0,6 5 0 0 0,4 12 0 0 0,5 14 0 0 0,2 12 0 0 0,3 3 0 0 0,4 11 0 0 0,4-1 0 0 0,-3 2 0 0 0,1 1 0 0 0,2 1 0 0 0,6 5 0 0 0,-1 3 0 0 0,-1 0 0 0 0,1-2 0 0 0,-1-6 0 0 0,-4 2 0 0 0,4 1 0 0 0,2 0 0 0 0,-4-1 0 0 0,-2 1 0 0 0,2 4 0 0 0,0 6 0 0 0,1 2 0 0 0,1 3 0 0 0,1-1 0 0 0,1-4 0 0 0,0 2 0 0 0,-5-1 0 0 0,4 1 0 0 0,-4-1 0 0 0,0-2 0 0 0,-5-4 0 0 0,0-8 0 0 0,-4-4 0 0 0,-5 0 0 0 0,1-1 0 0 0,-1 2 0 0 0,2-4 0 0 0,4 0 0 0 0,0 0 0 0 0,1 3 0 0 0,-2 1 0 0 0,-4-3 0 0 0</inkml:trace>
  <inkml:trace contextRef="#ctx0" brushRef="#br0" timeOffset="0.21">3942 5140 16383 0 0,'0'0'0'0'0</inkml:trace>
  <inkml:trace contextRef="#ctx0" brushRef="#br0" timeOffset="0.36">2528 5351 16383 0 0,'5'0'0'0'0,"7"0"0"0"0,6 0 0 0 0,6 0 0 0 0,8-5 0 0 0,5-2 0 0 0,0 0 0 0 0,0 2 0 0 0,-2 1 0 0 0,4 2 0 0 0,0 1 0 0 0,-2-5 0 0 0,-1-1 0 0 0,-3 1 0 0 0,5 1 0 0 0,-1 2 0 0 0,0 1 0 0 0,-2 0 0 0 0,-1 2 0 0 0,-2 0 0 0 0,4-5 0 0 0,1-1 0 0 0,5 0 0 0 0,-1-5 0 0 0,-1 1 0 0 0,-2 1 0 0 0,-4 3 0 0 0,-1 2 0 0 0,4 1 0 0 0,0 2 0 0 0,-1 1 0 0 0,-1-5 0 0 0,-2-6 0 0 0,4-2 0 0 0,1-4 0 0 0,-1 2 0 0 0,-2-2 0 0 0,-1 1 0 0 0,3 4 0 0 0,1 4 0 0 0,-2 3 0 0 0,0 3 0 0 0,-8-4 0 0 0,-13 0 0 0 0,-19-5 0 0 0,-15-1 0 0 0,-8 3 0 0 0,-11-3 0 0 0,-3-5 0 0 0,-1 1 0 0 0,-2-2 0 0 0,0 2 0 0 0,3-1 0 0 0,4 2 0 0 0,7-2 0 0 0,4 3 0 0 0,2 3 0 0 0,-1-2 0 0 0,-1 2 0 0 0,-1 3 0 0 0,-1 2 0 0 0,-2 3 0 0 0,1 1 0 0 0,4-4 0 0 0,1 0 0 0 0,6-6 0 0 0,4-4 0 0 0,6-6 0 0 0,4-3 0 0 0,2-4 0 0 0,2-1 0 0 0,1-1 0 0 0,0 0 0 0 0,0 0 0 0 0,0 0 0 0 0,0 0 0 0 0,4 1 0 0 0,2 0 0 0 0,0-1 0 0 0,3 6 0 0 0,1 2 0 0 0,-3 0 0 0 0,4-2 0 0 0,-1-2 0 0 0,3 0 0 0 0,4 3 0 0 0,-1 1 0 0 0,-3-1 0 0 0,-4-1 0 0 0,-4-1 0 0 0,-3-2 0 0 0,3 4 0 0 0,1 11 0 0 0,-1 13 0 0 0,-2 12 0 0 0,-1 18 0 0 0,-1 26 0 0 0,4 33 0 0 0,1 28 0 0 0,4 24 0 0 0,6 14 0 0 0,0 1 0 0 0,2-11 0 0 0,-2-14 0 0 0,-4-19 0 0 0,-5-24 0 0 0,-3-22 0 0 0,-2-12 0 0 0,-2-4 0 0 0,-2-1 0 0 0,1 1 0 0 0,-1 3 0 0 0,0 8 0 0 0,1 8 0 0 0,-1 4 0 0 0,1-2 0 0 0,0 4 0 0 0,0-2 0 0 0,0 3 0 0 0,0-1 0 0 0,0-4 0 0 0,0-3 0 0 0,0-4 0 0 0,0-6 0 0 0,0-4 0 0 0,0-5 0 0 0,0-7 0 0 0,0-5 0 0 0,0-3 0 0 0,0-3 0 0 0,0-1 0 0 0,5-6 0 0 0,7-7 0 0 0,6-6 0 0 0,6-6 0 0 0,3-3 0 0 0,3-2 0 0 0,1-1 0 0 0,0-5 0 0 0,1-2 0 0 0,-6-5 0 0 0,-2-5 0 0 0,-5-4 0 0 0,-1-5 0 0 0,-3-1 0 0 0,-4-2 0 0 0,-4-1 0 0 0,-4-6 0 0 0,4-1 0 0 0,0 1 0 0 0,-2-4 0 0 0,0 0 0 0 0,-2 2 0 0 0,-2 2 0 0 0,0 3 0 0 0,-1 2 0 0 0,0 1 0 0 0,0 0 0 0 0,-5 1 0 0 0,-2 1 0 0 0,0-1 0 0 0,-4 0 0 0 0,1 1 0 0 0,-4-1 0 0 0,1 0 0 0 0,-3 5 0 0 0,-4 1 0 0 0,-3 1 0 0 0,2-2 0 0 0,0 4 0 0 0,3 0 0 0 0,-1-2 0 0 0,4-1 0 0 0,-2 3 0 0 0,3-1 0 0 0,-2 5 0 0 0,2-1 0 0 0,-1 3 0 0 0,-4 4 0 0 0,-4 4 0 0 0,-2 3 0 0 0,-3 2 0 0 0,-2 2 0 0 0,0 0 0 0 0,-1 1 0 0 0,0 0 0 0 0,6 4 0 0 0,11 3 0 0 0,14 4 0 0 0,12 0 0 0 0,9-2 0 0 0,1 3 0 0 0,1-1 0 0 0,3-3 0 0 0,1-3 0 0 0,2-2 0 0 0,1-2 0 0 0,0-1 0 0 0,1-1 0 0 0,-1 0 0 0 0,1-1 0 0 0,-1 1 0 0 0,0-1 0 0 0,0 1 0 0 0,-5-5 0 0 0,-1-2 0 0 0,-6-5 0 0 0,-5-5 0 0 0,0 0 0 0 0,-2-7 0 0 0,2-5 0 0 0,-1-3 0 0 0,3 5 0 0 0,-2 1 0 0 0,-3 0 0 0 0,-2 0 0 0 0,-4-1 0 0 0,3 3 0 0 0,6 7 0 0 0,5 6 0 0 0,5 4 0 0 0,-1 10 0 0 0,0 3 0 0 0,-3 6 0 0 0,0 1 0 0 0,2-1 0 0 0,3-4 0 0 0,2-2 0 0 0,1-3 0 0 0,3-1 0 0 0,0-2 0 0 0,0 0 0 0 0,1-1 0 0 0,-1 1 0 0 0,1-6 0 0 0,-6-6 0 0 0,-7-7 0 0 0,-6-5 0 0 0,-6-3 0 0 0,-3-3 0 0 0,-2-1 0 0 0,-2 0 0 0 0,-1 0 0 0 0,1-1 0 0 0,0 1 0 0 0,0 1 0 0 0,1-1 0 0 0,-1 1 0 0 0,1 0 0 0 0,0 0 0 0 0,0 5 0 0 0</inkml:trace>
  <inkml:trace contextRef="#ctx0" brushRef="#br0" timeOffset="0.86">4514 5110 16383 0 0,'0'0'0'0'0</inkml:trace>
  <inkml:trace contextRef="#ctx0" brushRef="#br0" timeOffset="0.91">4483 4809 16383 0 0,'0'0'0'0'0</inkml:trace>
  <inkml:trace contextRef="#ctx0" brushRef="#br0" timeOffset="0.92">4483 4809 16383 0 0,'0'0'0'0'0</inkml:trace>
  <inkml:trace contextRef="#ctx0" brushRef="#br0" timeOffset="1.03">2107 4176 16383 0 0,'0'5'0'0'0,"-5"7"0"0"0,-2 7 0 0 0,0 4 0 0 0,-3 5 0 0 0,-6-4 0 0 0,1 0 0 0 0,2 1 0 0 0,-2-4 0 0 0,2 0 0 0 0,3 1 0 0 0,-1-3 0 0 0,0 6 0 0 0,3 3 0 0 0,2 2 0 0 0,2 7 0 0 0,3 1 0 0 0,0 0 0 0 0,1-1 0 0 0,0 8 0 0 0,1 7 0 0 0,-1-1 0 0 0,1 2 0 0 0,-1 1 0 0 0,0-2 0 0 0,0-1 0 0 0,0 2 0 0 0,0 2 0 0 0,0-3 0 0 0,0-1 0 0 0,0-3 0 0 0,0-5 0 0 0,0-5 0 0 0,0 2 0 0 0,0-1 0 0 0,0-3 0 0 0,0-1 0 0 0,0-2 0 0 0,0 4 0 0 0,0 5 0 0 0,5 2 0 0 0,7-3 0 0 0,2 3 0 0 0,2-2 0 0 0,0-2 0 0 0,2-8 0 0 0,-3-5 0 0 0,2-1 0 0 0,-2 0 0 0 0,7 0 0 0 0,4 1 0 0 0,3 2 0 0 0,2-5 0 0 0,-4-2 0 0 0,3-3 0 0 0,1-1 0 0 0,-3 2 0 0 0,-3-2 0 0 0,1-5 0 0 0,0-4 0 0 0,1-4 0 0 0,1-2 0 0 0,1-2 0 0 0,1-2 0 0 0,5 1 0 0 0,2-1 0 0 0,0 0 0 0 0,3 0 0 0 0,-4-4 0 0 0,-4-2 0 0 0,-2 0 0 0 0,-6-3 0 0 0,3-1 0 0 0,-3-3 0 0 0,0 1 0 0 0,-5-3 0 0 0,0 2 0 0 0,2-2 0 0 0,2-4 0 0 0,-3-3 0 0 0,1 2 0 0 0,7 0 0 0 0,3-2 0 0 0,2-3 0 0 0,-4-1 0 0 0,-8-1 0 0 0,-7-2 0 0 0,-6 6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</inkml:context>
    <inkml:brush xml:id="br0">
      <inkml:brushProperty name="width" value="0.05" units="cm"/>
      <inkml:brushProperty name="height" value="0.05" units="cm"/>
    </inkml:brush>
  </inkml:definitions>
  <inkml:trace contextRef="#ctx0" brushRef="#br0">9575 7107 16383 0 0,'0'0'0'0'0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6486-A64E-440D-A3ED-EE2EEF964D35}">
  <dimension ref="A1:M17"/>
  <sheetViews>
    <sheetView zoomScaleNormal="100" workbookViewId="0">
      <pane xSplit="3" ySplit="4" topLeftCell="F9" activePane="bottomRight" state="frozen"/>
      <selection pane="bottomRight" activeCell="A2" sqref="A2:M2"/>
      <selection pane="bottomLeft" activeCell="A5" sqref="A5"/>
      <selection pane="topRight" activeCell="D1" sqref="D1"/>
    </sheetView>
  </sheetViews>
  <sheetFormatPr defaultRowHeight="15"/>
  <cols>
    <col min="1" max="1" width="12.7109375" customWidth="1"/>
    <col min="2" max="2" width="29.42578125" customWidth="1"/>
    <col min="3" max="3" width="11" customWidth="1"/>
    <col min="4" max="4" width="12" customWidth="1"/>
    <col min="5" max="5" width="18.28515625" customWidth="1"/>
    <col min="6" max="6" width="11.7109375" customWidth="1"/>
    <col min="7" max="7" width="30.85546875" customWidth="1"/>
    <col min="8" max="8" width="9.7109375" bestFit="1" customWidth="1"/>
    <col min="9" max="9" width="14.7109375" customWidth="1"/>
    <col min="10" max="10" width="11.28515625" customWidth="1"/>
    <col min="11" max="11" width="31.140625" customWidth="1"/>
    <col min="12" max="12" width="11.28515625" customWidth="1"/>
    <col min="13" max="13" width="21.7109375" customWidth="1"/>
  </cols>
  <sheetData>
    <row r="1" spans="1:13" ht="24.6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1" customHeight="1">
      <c r="A2" s="46" t="s">
        <v>1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</row>
    <row r="3" spans="1:13" ht="23.45" customHeight="1">
      <c r="A3" s="47" t="s">
        <v>2</v>
      </c>
      <c r="B3" s="49" t="s">
        <v>3</v>
      </c>
      <c r="C3" s="49"/>
      <c r="D3" s="50" t="s">
        <v>4</v>
      </c>
      <c r="E3" s="52" t="s">
        <v>5</v>
      </c>
      <c r="F3" s="54" t="s">
        <v>6</v>
      </c>
      <c r="G3" s="55"/>
      <c r="H3" s="55"/>
      <c r="I3" s="55"/>
      <c r="J3" s="56" t="s">
        <v>7</v>
      </c>
      <c r="K3" s="57"/>
      <c r="L3" s="57"/>
      <c r="M3" s="58"/>
    </row>
    <row r="4" spans="1:13" ht="33.6" customHeight="1">
      <c r="A4" s="48"/>
      <c r="B4" s="16" t="s">
        <v>8</v>
      </c>
      <c r="C4" s="17" t="s">
        <v>9</v>
      </c>
      <c r="D4" s="51"/>
      <c r="E4" s="53"/>
      <c r="F4" s="1" t="s">
        <v>10</v>
      </c>
      <c r="G4" s="2" t="s">
        <v>11</v>
      </c>
      <c r="H4" s="2" t="s">
        <v>12</v>
      </c>
      <c r="I4" s="2" t="s">
        <v>13</v>
      </c>
      <c r="J4" s="3" t="s">
        <v>10</v>
      </c>
      <c r="K4" s="3" t="s">
        <v>11</v>
      </c>
      <c r="L4" s="3" t="s">
        <v>12</v>
      </c>
      <c r="M4" s="3" t="s">
        <v>13</v>
      </c>
    </row>
    <row r="5" spans="1:13" ht="19.899999999999999" customHeight="1">
      <c r="A5" s="4">
        <v>4</v>
      </c>
      <c r="B5" s="5" t="s">
        <v>14</v>
      </c>
      <c r="C5" s="14">
        <f>A5</f>
        <v>4</v>
      </c>
      <c r="D5" s="6">
        <v>8</v>
      </c>
      <c r="E5" s="7" t="str">
        <f t="shared" ref="E5:E8" si="0">IF(C5&lt;D5,"Place Order","")</f>
        <v>Place Order</v>
      </c>
      <c r="F5" s="8"/>
      <c r="G5" s="5" t="s">
        <v>14</v>
      </c>
      <c r="H5" s="6">
        <v>2</v>
      </c>
      <c r="I5" s="6"/>
      <c r="J5" s="9"/>
      <c r="K5" s="5" t="s">
        <v>14</v>
      </c>
      <c r="L5" s="6">
        <v>2</v>
      </c>
      <c r="M5" s="10"/>
    </row>
    <row r="6" spans="1:13" ht="19.899999999999999" customHeight="1">
      <c r="A6" s="4">
        <v>0</v>
      </c>
      <c r="B6" s="5" t="s">
        <v>15</v>
      </c>
      <c r="C6" s="14">
        <v>4</v>
      </c>
      <c r="D6" s="6">
        <v>5</v>
      </c>
      <c r="E6" s="7" t="str">
        <f t="shared" si="0"/>
        <v>Place Order</v>
      </c>
      <c r="F6" s="8"/>
      <c r="G6" s="5" t="s">
        <v>15</v>
      </c>
      <c r="H6" s="6">
        <v>5</v>
      </c>
      <c r="I6" s="6"/>
      <c r="J6" s="9"/>
      <c r="K6" s="5" t="s">
        <v>15</v>
      </c>
      <c r="L6" s="6">
        <v>1</v>
      </c>
      <c r="M6" s="10"/>
    </row>
    <row r="7" spans="1:13" ht="19.899999999999999" customHeight="1">
      <c r="A7" s="4">
        <f t="shared" ref="A7" si="1">H7-L7</f>
        <v>0</v>
      </c>
      <c r="B7" s="5" t="s">
        <v>16</v>
      </c>
      <c r="C7" s="14">
        <f>A7</f>
        <v>0</v>
      </c>
      <c r="D7" s="6">
        <v>1.5</v>
      </c>
      <c r="E7" s="7" t="str">
        <f t="shared" si="0"/>
        <v>Place Order</v>
      </c>
      <c r="F7" s="8"/>
      <c r="G7" s="5" t="s">
        <v>16</v>
      </c>
      <c r="H7" s="6">
        <v>1</v>
      </c>
      <c r="I7" s="6"/>
      <c r="J7" s="9"/>
      <c r="K7" s="5" t="s">
        <v>16</v>
      </c>
      <c r="L7" s="6">
        <v>1</v>
      </c>
      <c r="M7" s="10"/>
    </row>
    <row r="8" spans="1:13" ht="19.899999999999999" customHeight="1">
      <c r="A8" s="4">
        <v>0</v>
      </c>
      <c r="B8" s="5" t="s">
        <v>17</v>
      </c>
      <c r="C8" s="14">
        <f>A8</f>
        <v>0</v>
      </c>
      <c r="D8" s="6">
        <v>0</v>
      </c>
      <c r="E8" s="7" t="str">
        <f t="shared" si="0"/>
        <v/>
      </c>
      <c r="F8" s="8"/>
      <c r="G8" s="5" t="s">
        <v>17</v>
      </c>
      <c r="H8" s="6"/>
      <c r="I8" s="6"/>
      <c r="J8" s="9"/>
      <c r="K8" s="5" t="s">
        <v>17</v>
      </c>
      <c r="L8" s="6"/>
      <c r="M8" s="10"/>
    </row>
    <row r="11" spans="1:13">
      <c r="D11" s="34"/>
      <c r="M11" s="34"/>
    </row>
    <row r="12" spans="1:13">
      <c r="B12" t="s">
        <v>18</v>
      </c>
      <c r="D12" s="34"/>
      <c r="G12" t="s">
        <v>18</v>
      </c>
      <c r="K12" t="s">
        <v>18</v>
      </c>
      <c r="M12" s="34"/>
    </row>
    <row r="13" spans="1:13">
      <c r="B13" t="s">
        <v>19</v>
      </c>
      <c r="D13" s="34"/>
      <c r="G13" t="s">
        <v>20</v>
      </c>
      <c r="K13" t="s">
        <v>21</v>
      </c>
      <c r="M13" s="34"/>
    </row>
    <row r="14" spans="1:13">
      <c r="B14" t="s">
        <v>22</v>
      </c>
      <c r="D14" s="34"/>
      <c r="G14" t="s">
        <v>23</v>
      </c>
      <c r="K14" t="s">
        <v>24</v>
      </c>
      <c r="M14" s="34"/>
    </row>
    <row r="15" spans="1:13">
      <c r="B15" t="s">
        <v>25</v>
      </c>
      <c r="D15" s="34"/>
      <c r="G15" t="s">
        <v>26</v>
      </c>
      <c r="K15" t="s">
        <v>27</v>
      </c>
      <c r="M15" s="34"/>
    </row>
    <row r="16" spans="1:13">
      <c r="D16" s="34"/>
      <c r="M16" s="34"/>
    </row>
    <row r="17" spans="4:13">
      <c r="D17" s="34"/>
      <c r="M17" s="34"/>
    </row>
  </sheetData>
  <mergeCells count="8">
    <mergeCell ref="A1:M1"/>
    <mergeCell ref="A2:M2"/>
    <mergeCell ref="A3:A4"/>
    <mergeCell ref="B3:C3"/>
    <mergeCell ref="D3:D4"/>
    <mergeCell ref="E3:E4"/>
    <mergeCell ref="F3:I3"/>
    <mergeCell ref="J3:M3"/>
  </mergeCells>
  <conditionalFormatting sqref="B5:B8">
    <cfRule type="duplicateValues" dxfId="36" priority="96"/>
  </conditionalFormatting>
  <conditionalFormatting sqref="E5:E8">
    <cfRule type="containsText" dxfId="35" priority="11" operator="containsText" text="Place Order">
      <formula>NOT(ISERROR(SEARCH("Place Order",E5)))</formula>
    </cfRule>
    <cfRule type="containsText" dxfId="34" priority="12" operator="containsText" text="Place Order">
      <formula>NOT(ISERROR(SEARCH("Place Order",E5)))</formula>
    </cfRule>
    <cfRule type="containsText" dxfId="33" priority="13" operator="containsText" text="Place Order">
      <formula>NOT(ISERROR(SEARCH("Place Order",E5)))</formula>
    </cfRule>
  </conditionalFormatting>
  <conditionalFormatting sqref="G5:G8">
    <cfRule type="duplicateValues" dxfId="32" priority="97"/>
  </conditionalFormatting>
  <conditionalFormatting sqref="K5:K8">
    <cfRule type="duplicateValues" dxfId="31" priority="98"/>
  </conditionalFormatting>
  <dataValidations count="1">
    <dataValidation type="list" allowBlank="1" showInputMessage="1" showErrorMessage="1" sqref="K5:K8 G5:G8" xr:uid="{0E715A9C-4305-4255-A74B-E0C442EEA489}">
      <formula1>$B$5:$B$8</formula1>
    </dataValidation>
  </dataValidations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2D66-35E1-4BE0-A80F-24099E818D17}">
  <dimension ref="A1:M42"/>
  <sheetViews>
    <sheetView tabSelected="1" topLeftCell="A35" zoomScaleNormal="100" workbookViewId="0">
      <selection activeCell="A2" sqref="A2:M2"/>
    </sheetView>
  </sheetViews>
  <sheetFormatPr defaultRowHeight="15"/>
  <cols>
    <col min="1" max="1" width="12.7109375" customWidth="1"/>
    <col min="2" max="2" width="29.42578125" customWidth="1"/>
    <col min="3" max="3" width="11" customWidth="1"/>
    <col min="4" max="4" width="12" customWidth="1"/>
    <col min="5" max="5" width="18.28515625" customWidth="1"/>
    <col min="6" max="6" width="11.7109375" customWidth="1"/>
    <col min="7" max="7" width="30.85546875" customWidth="1"/>
    <col min="8" max="8" width="9.7109375" bestFit="1" customWidth="1"/>
    <col min="9" max="9" width="14.7109375" customWidth="1"/>
    <col min="10" max="10" width="11.28515625" customWidth="1"/>
    <col min="11" max="11" width="31.140625" customWidth="1"/>
    <col min="12" max="12" width="11.28515625" customWidth="1"/>
    <col min="13" max="13" width="21.7109375" customWidth="1"/>
  </cols>
  <sheetData>
    <row r="1" spans="1:13" ht="31.15" customHeight="1">
      <c r="A1" s="35" t="s">
        <v>28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5.15" customHeight="1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3.45" customHeight="1">
      <c r="A3" s="60" t="s">
        <v>2</v>
      </c>
      <c r="B3" s="38" t="s">
        <v>3</v>
      </c>
      <c r="C3" s="38"/>
      <c r="D3" s="39" t="s">
        <v>4</v>
      </c>
      <c r="E3" s="62" t="s">
        <v>5</v>
      </c>
      <c r="F3" s="64" t="s">
        <v>6</v>
      </c>
      <c r="G3" s="42"/>
      <c r="H3" s="42"/>
      <c r="I3" s="42"/>
      <c r="J3" s="43" t="s">
        <v>7</v>
      </c>
      <c r="K3" s="44"/>
      <c r="L3" s="44"/>
      <c r="M3" s="45"/>
    </row>
    <row r="4" spans="1:13" ht="33.6" customHeight="1">
      <c r="A4" s="61"/>
      <c r="B4" s="14" t="s">
        <v>8</v>
      </c>
      <c r="C4" s="15" t="s">
        <v>9</v>
      </c>
      <c r="D4" s="40"/>
      <c r="E4" s="63"/>
      <c r="F4" s="11" t="s">
        <v>10</v>
      </c>
      <c r="G4" s="12" t="s">
        <v>11</v>
      </c>
      <c r="H4" s="12" t="s">
        <v>12</v>
      </c>
      <c r="I4" s="12" t="s">
        <v>13</v>
      </c>
      <c r="J4" s="13" t="s">
        <v>10</v>
      </c>
      <c r="K4" s="13" t="s">
        <v>11</v>
      </c>
      <c r="L4" s="13" t="s">
        <v>12</v>
      </c>
      <c r="M4" s="13" t="s">
        <v>13</v>
      </c>
    </row>
    <row r="5" spans="1:13" ht="19.899999999999999" customHeight="1">
      <c r="A5" s="4">
        <v>0</v>
      </c>
      <c r="B5" s="5" t="s">
        <v>29</v>
      </c>
      <c r="C5" s="14">
        <f>A5+H5-L5</f>
        <v>1</v>
      </c>
      <c r="D5" s="6">
        <v>2</v>
      </c>
      <c r="E5" s="7" t="str">
        <f t="shared" ref="E5:E34" si="0">IF(C5&lt;D5,"Place Order","")</f>
        <v>Place Order</v>
      </c>
      <c r="F5" s="8"/>
      <c r="G5" s="5" t="s">
        <v>29</v>
      </c>
      <c r="H5" s="6">
        <v>2</v>
      </c>
      <c r="I5" s="6"/>
      <c r="J5" s="9"/>
      <c r="K5" s="5" t="s">
        <v>29</v>
      </c>
      <c r="L5" s="6">
        <v>1</v>
      </c>
      <c r="M5" s="10"/>
    </row>
    <row r="6" spans="1:13" ht="19.899999999999999" customHeight="1">
      <c r="A6" s="4">
        <v>0</v>
      </c>
      <c r="B6" s="5" t="s">
        <v>30</v>
      </c>
      <c r="C6" s="14">
        <f>A6+H6-L6</f>
        <v>1</v>
      </c>
      <c r="D6" s="6">
        <v>1</v>
      </c>
      <c r="E6" s="7" t="str">
        <f t="shared" si="0"/>
        <v/>
      </c>
      <c r="F6" s="8"/>
      <c r="G6" s="5" t="s">
        <v>30</v>
      </c>
      <c r="H6" s="6">
        <v>2</v>
      </c>
      <c r="I6" s="6"/>
      <c r="J6" s="9"/>
      <c r="K6" s="5" t="s">
        <v>30</v>
      </c>
      <c r="L6" s="6">
        <v>1</v>
      </c>
      <c r="M6" s="10"/>
    </row>
    <row r="7" spans="1:13" ht="19.899999999999999" customHeight="1">
      <c r="A7" s="4">
        <v>0</v>
      </c>
      <c r="B7" s="5" t="s">
        <v>31</v>
      </c>
      <c r="C7" s="14">
        <f t="shared" ref="C7:C34" si="1">H7-L7</f>
        <v>0</v>
      </c>
      <c r="D7" s="6">
        <v>0</v>
      </c>
      <c r="E7" s="7" t="str">
        <f t="shared" si="0"/>
        <v/>
      </c>
      <c r="F7" s="8"/>
      <c r="G7" s="5" t="s">
        <v>31</v>
      </c>
      <c r="H7" s="6">
        <v>0</v>
      </c>
      <c r="I7" s="6"/>
      <c r="J7" s="9"/>
      <c r="K7" s="5" t="s">
        <v>31</v>
      </c>
      <c r="L7" s="6">
        <v>0</v>
      </c>
      <c r="M7" s="10"/>
    </row>
    <row r="8" spans="1:13" ht="19.899999999999999" customHeight="1">
      <c r="A8" s="4">
        <v>0</v>
      </c>
      <c r="B8" s="10" t="s">
        <v>32</v>
      </c>
      <c r="C8" s="14">
        <f>A8-L8</f>
        <v>0</v>
      </c>
      <c r="D8" s="6">
        <v>0</v>
      </c>
      <c r="E8" s="7" t="str">
        <f t="shared" si="0"/>
        <v/>
      </c>
      <c r="F8" s="8"/>
      <c r="G8" s="10" t="s">
        <v>32</v>
      </c>
      <c r="H8" s="6">
        <v>0</v>
      </c>
      <c r="I8" s="6"/>
      <c r="J8" s="9"/>
      <c r="K8" s="10" t="s">
        <v>32</v>
      </c>
      <c r="L8" s="6">
        <v>0</v>
      </c>
      <c r="M8" s="10"/>
    </row>
    <row r="9" spans="1:13" ht="19.899999999999999" customHeight="1">
      <c r="A9" s="4">
        <v>0</v>
      </c>
      <c r="B9" s="5" t="s">
        <v>33</v>
      </c>
      <c r="C9" s="14">
        <f>A9+H9-L9</f>
        <v>-1</v>
      </c>
      <c r="D9" s="6">
        <v>2</v>
      </c>
      <c r="E9" s="7" t="str">
        <f t="shared" si="0"/>
        <v>Place Order</v>
      </c>
      <c r="F9" s="8"/>
      <c r="G9" s="5" t="s">
        <v>33</v>
      </c>
      <c r="H9" s="6">
        <v>0</v>
      </c>
      <c r="I9" s="6"/>
      <c r="J9" s="9"/>
      <c r="K9" s="5" t="s">
        <v>33</v>
      </c>
      <c r="L9" s="6">
        <v>1</v>
      </c>
      <c r="M9" s="10"/>
    </row>
    <row r="10" spans="1:13" ht="19.899999999999999" customHeight="1">
      <c r="A10" s="4">
        <v>0</v>
      </c>
      <c r="B10" s="5" t="s">
        <v>34</v>
      </c>
      <c r="C10" s="14">
        <v>1</v>
      </c>
      <c r="D10" s="6">
        <v>2</v>
      </c>
      <c r="E10" s="7" t="str">
        <f t="shared" si="0"/>
        <v>Place Order</v>
      </c>
      <c r="F10" s="8"/>
      <c r="G10" s="5" t="s">
        <v>34</v>
      </c>
      <c r="H10" s="6">
        <v>2</v>
      </c>
      <c r="I10" s="6"/>
      <c r="J10" s="9"/>
      <c r="K10" s="5" t="s">
        <v>34</v>
      </c>
      <c r="L10" s="6">
        <v>1</v>
      </c>
      <c r="M10" s="10"/>
    </row>
    <row r="11" spans="1:13" ht="19.899999999999999" customHeight="1">
      <c r="A11" s="4">
        <v>0</v>
      </c>
      <c r="B11" s="5" t="s">
        <v>35</v>
      </c>
      <c r="C11" s="14">
        <f>A11+H11-L11</f>
        <v>1</v>
      </c>
      <c r="D11" s="6">
        <v>4</v>
      </c>
      <c r="E11" s="7" t="str">
        <f t="shared" si="0"/>
        <v>Place Order</v>
      </c>
      <c r="F11" s="8"/>
      <c r="G11" s="5" t="s">
        <v>35</v>
      </c>
      <c r="H11" s="6">
        <v>2</v>
      </c>
      <c r="I11" s="6"/>
      <c r="J11" s="9"/>
      <c r="K11" s="5" t="s">
        <v>35</v>
      </c>
      <c r="L11" s="6">
        <v>1</v>
      </c>
      <c r="M11" s="10"/>
    </row>
    <row r="12" spans="1:13" ht="19.899999999999999" customHeight="1">
      <c r="A12" s="4">
        <v>0</v>
      </c>
      <c r="B12" s="5" t="s">
        <v>36</v>
      </c>
      <c r="C12" s="14">
        <f t="shared" si="1"/>
        <v>0</v>
      </c>
      <c r="D12" s="6">
        <v>0</v>
      </c>
      <c r="E12" s="7" t="str">
        <f t="shared" si="0"/>
        <v/>
      </c>
      <c r="F12" s="8"/>
      <c r="G12" s="5" t="s">
        <v>36</v>
      </c>
      <c r="H12" s="6">
        <v>0</v>
      </c>
      <c r="I12" s="6"/>
      <c r="J12" s="9"/>
      <c r="K12" s="5" t="s">
        <v>36</v>
      </c>
      <c r="L12" s="6">
        <v>0</v>
      </c>
      <c r="M12" s="10"/>
    </row>
    <row r="13" spans="1:13" ht="19.899999999999999" customHeight="1">
      <c r="A13" s="4">
        <v>0</v>
      </c>
      <c r="B13" s="5" t="s">
        <v>37</v>
      </c>
      <c r="C13" s="14">
        <f t="shared" si="1"/>
        <v>0</v>
      </c>
      <c r="D13" s="6">
        <v>0</v>
      </c>
      <c r="E13" s="7" t="str">
        <f t="shared" si="0"/>
        <v/>
      </c>
      <c r="F13" s="8"/>
      <c r="G13" s="5" t="s">
        <v>37</v>
      </c>
      <c r="H13" s="6">
        <v>0</v>
      </c>
      <c r="I13" s="6"/>
      <c r="J13" s="9"/>
      <c r="K13" s="5" t="s">
        <v>37</v>
      </c>
      <c r="L13" s="6">
        <v>0</v>
      </c>
      <c r="M13" s="10"/>
    </row>
    <row r="14" spans="1:13" ht="19.899999999999999" customHeight="1">
      <c r="A14" s="4">
        <v>0</v>
      </c>
      <c r="B14" s="5" t="s">
        <v>38</v>
      </c>
      <c r="C14" s="14">
        <v>1</v>
      </c>
      <c r="D14" s="6">
        <v>2</v>
      </c>
      <c r="E14" s="7" t="str">
        <f t="shared" si="0"/>
        <v>Place Order</v>
      </c>
      <c r="F14" s="8"/>
      <c r="G14" s="5" t="s">
        <v>38</v>
      </c>
      <c r="H14" s="6">
        <v>2</v>
      </c>
      <c r="I14" s="6"/>
      <c r="J14" s="9"/>
      <c r="K14" s="5" t="s">
        <v>38</v>
      </c>
      <c r="L14" s="6">
        <v>1</v>
      </c>
      <c r="M14" s="10"/>
    </row>
    <row r="15" spans="1:13" ht="19.899999999999999" customHeight="1">
      <c r="A15" s="4">
        <v>0</v>
      </c>
      <c r="B15" s="5" t="s">
        <v>39</v>
      </c>
      <c r="C15" s="14">
        <f>A15+H15-L15</f>
        <v>0</v>
      </c>
      <c r="D15" s="6">
        <v>0</v>
      </c>
      <c r="E15" s="7" t="str">
        <f t="shared" si="0"/>
        <v/>
      </c>
      <c r="F15" s="8"/>
      <c r="G15" s="5" t="s">
        <v>39</v>
      </c>
      <c r="H15" s="6">
        <v>0</v>
      </c>
      <c r="I15" s="6"/>
      <c r="J15" s="9"/>
      <c r="K15" s="5" t="s">
        <v>39</v>
      </c>
      <c r="L15" s="6">
        <v>0</v>
      </c>
      <c r="M15" s="10"/>
    </row>
    <row r="16" spans="1:13" ht="19.899999999999999" customHeight="1">
      <c r="A16" s="4">
        <v>0</v>
      </c>
      <c r="B16" s="5" t="s">
        <v>40</v>
      </c>
      <c r="C16" s="14">
        <f>A16+H16-L16</f>
        <v>0</v>
      </c>
      <c r="D16" s="6">
        <v>0</v>
      </c>
      <c r="E16" s="7" t="str">
        <f t="shared" si="0"/>
        <v/>
      </c>
      <c r="F16" s="8"/>
      <c r="G16" s="5" t="s">
        <v>40</v>
      </c>
      <c r="H16" s="6">
        <v>0</v>
      </c>
      <c r="I16" s="6"/>
      <c r="J16" s="9"/>
      <c r="K16" s="5" t="s">
        <v>40</v>
      </c>
      <c r="L16" s="6">
        <v>0</v>
      </c>
      <c r="M16" s="10"/>
    </row>
    <row r="17" spans="1:13" ht="19.899999999999999" customHeight="1">
      <c r="A17" s="4">
        <f t="shared" ref="A17:A34" si="2">H17-L17</f>
        <v>0</v>
      </c>
      <c r="B17" s="5" t="s">
        <v>41</v>
      </c>
      <c r="C17" s="14">
        <f t="shared" si="1"/>
        <v>0</v>
      </c>
      <c r="D17" s="6">
        <v>0</v>
      </c>
      <c r="E17" s="7" t="str">
        <f t="shared" si="0"/>
        <v/>
      </c>
      <c r="F17" s="8"/>
      <c r="G17" s="5" t="s">
        <v>41</v>
      </c>
      <c r="H17" s="6">
        <v>0</v>
      </c>
      <c r="I17" s="6"/>
      <c r="J17" s="9"/>
      <c r="K17" s="5" t="s">
        <v>41</v>
      </c>
      <c r="L17" s="6">
        <v>0</v>
      </c>
      <c r="M17" s="10"/>
    </row>
    <row r="18" spans="1:13" ht="19.899999999999999" customHeight="1">
      <c r="A18" s="4">
        <f t="shared" si="2"/>
        <v>0</v>
      </c>
      <c r="B18" s="5" t="s">
        <v>42</v>
      </c>
      <c r="C18" s="14">
        <f t="shared" si="1"/>
        <v>0</v>
      </c>
      <c r="D18" s="6">
        <v>0</v>
      </c>
      <c r="E18" s="7" t="str">
        <f t="shared" si="0"/>
        <v/>
      </c>
      <c r="F18" s="8"/>
      <c r="G18" s="5" t="s">
        <v>42</v>
      </c>
      <c r="H18" s="6">
        <v>0</v>
      </c>
      <c r="I18" s="6"/>
      <c r="J18" s="9"/>
      <c r="K18" s="5" t="s">
        <v>42</v>
      </c>
      <c r="L18" s="6">
        <v>0</v>
      </c>
      <c r="M18" s="10"/>
    </row>
    <row r="19" spans="1:13" ht="19.899999999999999" customHeight="1">
      <c r="A19" s="4">
        <v>0</v>
      </c>
      <c r="B19" s="5" t="s">
        <v>43</v>
      </c>
      <c r="C19" s="14">
        <v>1</v>
      </c>
      <c r="D19" s="6">
        <v>2</v>
      </c>
      <c r="E19" s="7" t="str">
        <f t="shared" si="0"/>
        <v>Place Order</v>
      </c>
      <c r="F19" s="8"/>
      <c r="G19" s="5" t="s">
        <v>43</v>
      </c>
      <c r="H19" s="6">
        <v>0</v>
      </c>
      <c r="I19" s="6"/>
      <c r="J19" s="9"/>
      <c r="K19" s="5" t="s">
        <v>43</v>
      </c>
      <c r="L19" s="6">
        <v>2</v>
      </c>
      <c r="M19" s="10"/>
    </row>
    <row r="20" spans="1:13" ht="19.899999999999999" customHeight="1">
      <c r="A20" s="4">
        <v>0</v>
      </c>
      <c r="B20" s="5" t="s">
        <v>44</v>
      </c>
      <c r="C20" s="14">
        <f>A20+H20-L20</f>
        <v>0</v>
      </c>
      <c r="D20" s="6">
        <v>2</v>
      </c>
      <c r="E20" s="7" t="str">
        <f t="shared" si="0"/>
        <v>Place Order</v>
      </c>
      <c r="F20" s="8"/>
      <c r="G20" s="5" t="s">
        <v>44</v>
      </c>
      <c r="H20" s="6">
        <v>2</v>
      </c>
      <c r="I20" s="6"/>
      <c r="J20" s="9"/>
      <c r="K20" s="5" t="s">
        <v>44</v>
      </c>
      <c r="L20" s="6">
        <v>2</v>
      </c>
      <c r="M20" s="10"/>
    </row>
    <row r="21" spans="1:13" ht="19.899999999999999" customHeight="1">
      <c r="A21" s="4">
        <v>0</v>
      </c>
      <c r="B21" s="5" t="s">
        <v>45</v>
      </c>
      <c r="C21" s="14">
        <f t="shared" si="1"/>
        <v>0</v>
      </c>
      <c r="D21" s="6">
        <v>1</v>
      </c>
      <c r="E21" s="7" t="str">
        <f t="shared" si="0"/>
        <v>Place Order</v>
      </c>
      <c r="F21" s="8"/>
      <c r="G21" s="5" t="s">
        <v>45</v>
      </c>
      <c r="H21" s="6">
        <v>1</v>
      </c>
      <c r="I21" s="6"/>
      <c r="J21" s="9"/>
      <c r="K21" s="5" t="s">
        <v>45</v>
      </c>
      <c r="L21" s="6">
        <v>1</v>
      </c>
      <c r="M21" s="10"/>
    </row>
    <row r="22" spans="1:13" ht="19.899999999999999" customHeight="1">
      <c r="A22" s="4">
        <f t="shared" si="2"/>
        <v>2</v>
      </c>
      <c r="B22" s="5" t="s">
        <v>46</v>
      </c>
      <c r="C22" s="14">
        <v>2</v>
      </c>
      <c r="D22" s="6">
        <v>2</v>
      </c>
      <c r="E22" s="7" t="str">
        <f t="shared" si="0"/>
        <v/>
      </c>
      <c r="F22" s="8"/>
      <c r="G22" s="5" t="s">
        <v>46</v>
      </c>
      <c r="H22" s="6">
        <v>2</v>
      </c>
      <c r="I22" s="6"/>
      <c r="J22" s="9"/>
      <c r="K22" s="5" t="s">
        <v>46</v>
      </c>
      <c r="L22" s="6">
        <v>0</v>
      </c>
      <c r="M22" s="10"/>
    </row>
    <row r="23" spans="1:13" ht="19.899999999999999" customHeight="1">
      <c r="A23" s="4">
        <v>0</v>
      </c>
      <c r="B23" s="5" t="s">
        <v>47</v>
      </c>
      <c r="C23" s="14">
        <f>A23+H23-L23</f>
        <v>0</v>
      </c>
      <c r="D23" s="6">
        <v>0</v>
      </c>
      <c r="E23" s="7" t="str">
        <f t="shared" si="0"/>
        <v/>
      </c>
      <c r="F23" s="8"/>
      <c r="G23" s="5" t="s">
        <v>47</v>
      </c>
      <c r="H23" s="6">
        <v>0</v>
      </c>
      <c r="I23" s="6"/>
      <c r="J23" s="9"/>
      <c r="K23" s="5" t="s">
        <v>47</v>
      </c>
      <c r="L23" s="6">
        <v>0</v>
      </c>
      <c r="M23" s="10"/>
    </row>
    <row r="24" spans="1:13" ht="19.899999999999999" customHeight="1">
      <c r="A24" s="4">
        <v>0</v>
      </c>
      <c r="B24" s="5" t="s">
        <v>48</v>
      </c>
      <c r="C24" s="14">
        <v>2</v>
      </c>
      <c r="D24" s="6">
        <v>2</v>
      </c>
      <c r="E24" s="7" t="str">
        <f t="shared" si="0"/>
        <v/>
      </c>
      <c r="F24" s="8"/>
      <c r="G24" s="5" t="s">
        <v>48</v>
      </c>
      <c r="H24" s="6">
        <v>0</v>
      </c>
      <c r="I24" s="6"/>
      <c r="J24" s="9"/>
      <c r="K24" s="5" t="s">
        <v>48</v>
      </c>
      <c r="L24" s="6">
        <v>1</v>
      </c>
      <c r="M24" s="10"/>
    </row>
    <row r="25" spans="1:13" ht="19.899999999999999" customHeight="1">
      <c r="A25" s="4">
        <f t="shared" si="2"/>
        <v>0</v>
      </c>
      <c r="B25" s="5" t="s">
        <v>49</v>
      </c>
      <c r="C25" s="14">
        <f t="shared" si="1"/>
        <v>0</v>
      </c>
      <c r="D25" s="6">
        <v>0</v>
      </c>
      <c r="E25" s="7" t="str">
        <f t="shared" si="0"/>
        <v/>
      </c>
      <c r="F25" s="8"/>
      <c r="G25" s="5" t="s">
        <v>49</v>
      </c>
      <c r="H25" s="6">
        <v>0</v>
      </c>
      <c r="I25" s="6"/>
      <c r="J25" s="9"/>
      <c r="K25" s="5" t="s">
        <v>49</v>
      </c>
      <c r="L25" s="6">
        <v>0</v>
      </c>
      <c r="M25" s="10"/>
    </row>
    <row r="26" spans="1:13" ht="19.899999999999999" customHeight="1">
      <c r="A26" s="4">
        <v>0</v>
      </c>
      <c r="B26" s="5" t="s">
        <v>50</v>
      </c>
      <c r="C26" s="14">
        <f>H26-L26</f>
        <v>0</v>
      </c>
      <c r="D26" s="6">
        <v>2</v>
      </c>
      <c r="E26" s="7" t="str">
        <f t="shared" si="0"/>
        <v>Place Order</v>
      </c>
      <c r="F26" s="8"/>
      <c r="G26" s="5" t="s">
        <v>50</v>
      </c>
      <c r="H26" s="6">
        <v>5</v>
      </c>
      <c r="I26" s="6"/>
      <c r="J26" s="9"/>
      <c r="K26" s="5" t="s">
        <v>50</v>
      </c>
      <c r="L26" s="6">
        <v>5</v>
      </c>
      <c r="M26" s="10"/>
    </row>
    <row r="27" spans="1:13" ht="19.899999999999999" customHeight="1">
      <c r="A27" s="4">
        <f t="shared" si="2"/>
        <v>0</v>
      </c>
      <c r="B27" s="5" t="s">
        <v>51</v>
      </c>
      <c r="C27" s="14">
        <f t="shared" si="1"/>
        <v>0</v>
      </c>
      <c r="D27" s="6">
        <v>0</v>
      </c>
      <c r="E27" s="7" t="str">
        <f t="shared" si="0"/>
        <v/>
      </c>
      <c r="F27" s="8"/>
      <c r="G27" s="5" t="s">
        <v>51</v>
      </c>
      <c r="H27" s="6">
        <v>0</v>
      </c>
      <c r="I27" s="6"/>
      <c r="J27" s="9"/>
      <c r="K27" s="5" t="s">
        <v>51</v>
      </c>
      <c r="L27" s="6">
        <v>0</v>
      </c>
      <c r="M27" s="10"/>
    </row>
    <row r="28" spans="1:13" ht="19.899999999999999" customHeight="1">
      <c r="A28" s="4">
        <f t="shared" si="2"/>
        <v>0</v>
      </c>
      <c r="B28" s="5" t="s">
        <v>52</v>
      </c>
      <c r="C28" s="14">
        <f t="shared" si="1"/>
        <v>0</v>
      </c>
      <c r="D28" s="6">
        <v>0</v>
      </c>
      <c r="E28" s="7" t="str">
        <f t="shared" si="0"/>
        <v/>
      </c>
      <c r="F28" s="8"/>
      <c r="G28" s="5" t="s">
        <v>52</v>
      </c>
      <c r="H28" s="6">
        <v>0</v>
      </c>
      <c r="I28" s="6"/>
      <c r="J28" s="9"/>
      <c r="K28" s="5" t="s">
        <v>52</v>
      </c>
      <c r="L28" s="6">
        <v>0</v>
      </c>
      <c r="M28" s="10"/>
    </row>
    <row r="29" spans="1:13" ht="19.899999999999999" customHeight="1">
      <c r="A29" s="4">
        <f t="shared" si="2"/>
        <v>0</v>
      </c>
      <c r="B29" s="5" t="s">
        <v>53</v>
      </c>
      <c r="C29" s="14">
        <f t="shared" si="1"/>
        <v>0</v>
      </c>
      <c r="D29" s="6">
        <v>0</v>
      </c>
      <c r="E29" s="7" t="str">
        <f t="shared" si="0"/>
        <v/>
      </c>
      <c r="F29" s="8"/>
      <c r="G29" s="5" t="s">
        <v>53</v>
      </c>
      <c r="H29" s="6">
        <v>0</v>
      </c>
      <c r="I29" s="6"/>
      <c r="J29" s="9"/>
      <c r="K29" s="5" t="s">
        <v>53</v>
      </c>
      <c r="L29" s="6">
        <v>0</v>
      </c>
      <c r="M29" s="10"/>
    </row>
    <row r="30" spans="1:13" ht="19.899999999999999" customHeight="1">
      <c r="A30" s="4">
        <f t="shared" si="2"/>
        <v>1</v>
      </c>
      <c r="B30" s="5" t="s">
        <v>54</v>
      </c>
      <c r="C30" s="14">
        <f t="shared" si="1"/>
        <v>1</v>
      </c>
      <c r="D30" s="6">
        <v>2</v>
      </c>
      <c r="E30" s="7" t="str">
        <f t="shared" si="0"/>
        <v>Place Order</v>
      </c>
      <c r="F30" s="8"/>
      <c r="G30" s="5" t="s">
        <v>54</v>
      </c>
      <c r="H30" s="6">
        <v>2</v>
      </c>
      <c r="I30" s="6"/>
      <c r="J30" s="9"/>
      <c r="K30" s="5" t="s">
        <v>54</v>
      </c>
      <c r="L30" s="6">
        <v>1</v>
      </c>
      <c r="M30" s="10"/>
    </row>
    <row r="31" spans="1:13" ht="19.899999999999999" customHeight="1">
      <c r="A31" s="4">
        <f t="shared" si="2"/>
        <v>1</v>
      </c>
      <c r="B31" s="5" t="s">
        <v>55</v>
      </c>
      <c r="C31" s="14">
        <f t="shared" si="1"/>
        <v>1</v>
      </c>
      <c r="D31" s="6">
        <v>2</v>
      </c>
      <c r="E31" s="7" t="str">
        <f t="shared" si="0"/>
        <v>Place Order</v>
      </c>
      <c r="F31" s="8"/>
      <c r="G31" s="5" t="s">
        <v>55</v>
      </c>
      <c r="H31" s="6">
        <v>2</v>
      </c>
      <c r="I31" s="6"/>
      <c r="J31" s="9"/>
      <c r="K31" s="5" t="s">
        <v>55</v>
      </c>
      <c r="L31" s="6">
        <v>1</v>
      </c>
      <c r="M31" s="10"/>
    </row>
    <row r="32" spans="1:13" ht="19.899999999999999" customHeight="1">
      <c r="A32" s="4">
        <v>0</v>
      </c>
      <c r="B32" s="5" t="s">
        <v>56</v>
      </c>
      <c r="C32" s="14">
        <f t="shared" si="1"/>
        <v>0</v>
      </c>
      <c r="D32" s="6">
        <v>0</v>
      </c>
      <c r="E32" s="7" t="str">
        <f t="shared" si="0"/>
        <v/>
      </c>
      <c r="F32" s="8"/>
      <c r="G32" s="5" t="s">
        <v>56</v>
      </c>
      <c r="H32" s="6">
        <v>0</v>
      </c>
      <c r="I32" s="6"/>
      <c r="J32" s="9"/>
      <c r="K32" s="5" t="s">
        <v>56</v>
      </c>
      <c r="L32" s="6">
        <v>0</v>
      </c>
      <c r="M32" s="10"/>
    </row>
    <row r="33" spans="1:13" ht="19.899999999999999" customHeight="1">
      <c r="A33" s="4">
        <f t="shared" si="2"/>
        <v>0</v>
      </c>
      <c r="B33" s="5" t="s">
        <v>57</v>
      </c>
      <c r="C33" s="14">
        <f t="shared" si="1"/>
        <v>0</v>
      </c>
      <c r="D33" s="6">
        <v>0</v>
      </c>
      <c r="E33" s="7" t="str">
        <f t="shared" si="0"/>
        <v/>
      </c>
      <c r="F33" s="8"/>
      <c r="G33" s="5" t="s">
        <v>57</v>
      </c>
      <c r="H33" s="6">
        <v>0</v>
      </c>
      <c r="I33" s="6"/>
      <c r="J33" s="9"/>
      <c r="K33" s="5" t="s">
        <v>57</v>
      </c>
      <c r="L33" s="6">
        <v>0</v>
      </c>
      <c r="M33" s="10"/>
    </row>
    <row r="34" spans="1:13" ht="19.899999999999999" customHeight="1">
      <c r="A34" s="4">
        <f t="shared" si="2"/>
        <v>0</v>
      </c>
      <c r="B34" s="5" t="s">
        <v>58</v>
      </c>
      <c r="C34" s="14">
        <f t="shared" si="1"/>
        <v>0</v>
      </c>
      <c r="D34" s="6">
        <v>0</v>
      </c>
      <c r="E34" s="7" t="str">
        <f t="shared" si="0"/>
        <v/>
      </c>
      <c r="F34" s="8"/>
      <c r="G34" s="5" t="s">
        <v>58</v>
      </c>
      <c r="H34" s="6">
        <v>0</v>
      </c>
      <c r="I34" s="6"/>
      <c r="J34" s="9"/>
      <c r="K34" s="5" t="s">
        <v>58</v>
      </c>
      <c r="L34" s="6">
        <v>0</v>
      </c>
      <c r="M34" s="10"/>
    </row>
    <row r="39" spans="1:13">
      <c r="B39" t="s">
        <v>18</v>
      </c>
      <c r="D39" s="34"/>
      <c r="G39" t="s">
        <v>18</v>
      </c>
      <c r="K39" t="s">
        <v>18</v>
      </c>
    </row>
    <row r="40" spans="1:13">
      <c r="B40" t="s">
        <v>19</v>
      </c>
      <c r="D40" s="34"/>
      <c r="G40" t="s">
        <v>20</v>
      </c>
      <c r="K40" t="s">
        <v>21</v>
      </c>
    </row>
    <row r="41" spans="1:13">
      <c r="B41" t="s">
        <v>22</v>
      </c>
      <c r="D41" s="34"/>
      <c r="G41" t="s">
        <v>23</v>
      </c>
      <c r="K41" t="s">
        <v>24</v>
      </c>
    </row>
    <row r="42" spans="1:13">
      <c r="B42" t="s">
        <v>59</v>
      </c>
      <c r="D42" s="34"/>
      <c r="G42" t="s">
        <v>26</v>
      </c>
      <c r="K42" t="s">
        <v>27</v>
      </c>
    </row>
  </sheetData>
  <mergeCells count="8">
    <mergeCell ref="A1:M1"/>
    <mergeCell ref="A2:M2"/>
    <mergeCell ref="A3:A4"/>
    <mergeCell ref="B3:C3"/>
    <mergeCell ref="D3:D4"/>
    <mergeCell ref="E3:E4"/>
    <mergeCell ref="F3:I3"/>
    <mergeCell ref="J3:M3"/>
  </mergeCells>
  <conditionalFormatting sqref="B5">
    <cfRule type="duplicateValues" dxfId="30" priority="10"/>
  </conditionalFormatting>
  <conditionalFormatting sqref="B6:B7 B9:B34">
    <cfRule type="duplicateValues" dxfId="29" priority="16"/>
  </conditionalFormatting>
  <conditionalFormatting sqref="B10">
    <cfRule type="duplicateValues" dxfId="28" priority="11"/>
  </conditionalFormatting>
  <conditionalFormatting sqref="E5:E34">
    <cfRule type="containsText" dxfId="27" priority="12" operator="containsText" text="Place Order">
      <formula>NOT(ISERROR(SEARCH("Place Order",E5)))</formula>
    </cfRule>
    <cfRule type="containsText" dxfId="26" priority="13" operator="containsText" text="Place Order">
      <formula>NOT(ISERROR(SEARCH("Place Order",E5)))</formula>
    </cfRule>
    <cfRule type="containsText" dxfId="25" priority="14" operator="containsText" text="Place Order">
      <formula>NOT(ISERROR(SEARCH("Place Order",E5)))</formula>
    </cfRule>
  </conditionalFormatting>
  <conditionalFormatting sqref="G5">
    <cfRule type="duplicateValues" dxfId="24" priority="6"/>
  </conditionalFormatting>
  <conditionalFormatting sqref="G6:G7 G9:G34">
    <cfRule type="duplicateValues" dxfId="23" priority="99"/>
  </conditionalFormatting>
  <conditionalFormatting sqref="G10">
    <cfRule type="duplicateValues" dxfId="22" priority="7"/>
  </conditionalFormatting>
  <conditionalFormatting sqref="K5">
    <cfRule type="duplicateValues" dxfId="21" priority="2"/>
  </conditionalFormatting>
  <conditionalFormatting sqref="K6:K7 K9:K34">
    <cfRule type="duplicateValues" dxfId="20" priority="101"/>
  </conditionalFormatting>
  <conditionalFormatting sqref="K10">
    <cfRule type="duplicateValues" dxfId="19" priority="3"/>
  </conditionalFormatting>
  <dataValidations count="1">
    <dataValidation type="list" allowBlank="1" showInputMessage="1" showErrorMessage="1" sqref="G5:G34 K5:K34" xr:uid="{B1B35657-E088-475F-89D4-E2EACB49E617}">
      <formula1>$B$5:$B$34</formula1>
    </dataValidation>
  </dataValidations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AFBA8-8B5D-41CF-A4C1-863008DFD258}">
  <dimension ref="A1:M70"/>
  <sheetViews>
    <sheetView zoomScale="99" zoomScaleNormal="99" workbookViewId="0">
      <pane xSplit="3" ySplit="4" topLeftCell="D5" activePane="bottomRight" state="frozen"/>
      <selection pane="bottomRight" activeCell="A2" sqref="A2:M2"/>
      <selection pane="bottomLeft" activeCell="A5" sqref="A5"/>
      <selection pane="topRight" activeCell="D1" sqref="D1"/>
    </sheetView>
  </sheetViews>
  <sheetFormatPr defaultRowHeight="15"/>
  <cols>
    <col min="1" max="1" width="12.28515625" customWidth="1"/>
    <col min="2" max="2" width="34.85546875" customWidth="1"/>
    <col min="3" max="3" width="11" customWidth="1"/>
    <col min="4" max="4" width="12" customWidth="1"/>
    <col min="5" max="5" width="18.28515625" customWidth="1"/>
    <col min="6" max="6" width="11.7109375" customWidth="1"/>
    <col min="7" max="7" width="29.7109375" customWidth="1"/>
    <col min="8" max="8" width="8.140625" customWidth="1"/>
    <col min="9" max="9" width="11.85546875" customWidth="1"/>
    <col min="10" max="10" width="11.140625" customWidth="1"/>
    <col min="11" max="11" width="28.85546875" customWidth="1"/>
    <col min="12" max="12" width="11.28515625" customWidth="1"/>
    <col min="13" max="13" width="16.7109375" customWidth="1"/>
  </cols>
  <sheetData>
    <row r="1" spans="1:13" ht="31.15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spans="1:13" ht="21" customHeight="1">
      <c r="A2" s="41" t="s">
        <v>1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ht="23.45" customHeight="1">
      <c r="A3" s="36" t="s">
        <v>2</v>
      </c>
      <c r="B3" s="38" t="s">
        <v>3</v>
      </c>
      <c r="C3" s="38"/>
      <c r="D3" s="39" t="s">
        <v>4</v>
      </c>
      <c r="E3" s="36" t="s">
        <v>60</v>
      </c>
      <c r="F3" s="42" t="s">
        <v>6</v>
      </c>
      <c r="G3" s="42"/>
      <c r="H3" s="42"/>
      <c r="I3" s="42"/>
      <c r="J3" s="43" t="s">
        <v>7</v>
      </c>
      <c r="K3" s="44"/>
      <c r="L3" s="44"/>
      <c r="M3" s="45"/>
    </row>
    <row r="4" spans="1:13" ht="20.45" customHeight="1">
      <c r="A4" s="37"/>
      <c r="B4" s="14" t="s">
        <v>8</v>
      </c>
      <c r="C4" s="14" t="s">
        <v>12</v>
      </c>
      <c r="D4" s="40"/>
      <c r="E4" s="37"/>
      <c r="F4" s="12" t="s">
        <v>10</v>
      </c>
      <c r="G4" s="12" t="s">
        <v>11</v>
      </c>
      <c r="H4" s="12" t="s">
        <v>12</v>
      </c>
      <c r="I4" s="12" t="s">
        <v>13</v>
      </c>
      <c r="J4" s="13" t="s">
        <v>10</v>
      </c>
      <c r="K4" s="13" t="s">
        <v>11</v>
      </c>
      <c r="L4" s="13" t="s">
        <v>12</v>
      </c>
      <c r="M4" s="13" t="s">
        <v>13</v>
      </c>
    </row>
    <row r="5" spans="1:13" ht="19.899999999999999" customHeight="1">
      <c r="A5" s="13">
        <v>0</v>
      </c>
      <c r="B5" s="10" t="s">
        <v>61</v>
      </c>
      <c r="C5" s="14">
        <f>A5+H5-L5</f>
        <v>0</v>
      </c>
      <c r="D5" s="6"/>
      <c r="E5" s="6" t="str">
        <f t="shared" ref="E5:E27" si="0">IF(C5&lt;D5,"Place Order","")</f>
        <v/>
      </c>
      <c r="F5" s="9"/>
      <c r="G5" s="10" t="s">
        <v>61</v>
      </c>
      <c r="H5" s="6">
        <v>0</v>
      </c>
      <c r="I5" s="6"/>
      <c r="J5" s="9"/>
      <c r="K5" s="10" t="s">
        <v>61</v>
      </c>
      <c r="L5" s="6">
        <v>0</v>
      </c>
      <c r="M5" s="10"/>
    </row>
    <row r="6" spans="1:13" ht="19.899999999999999" customHeight="1">
      <c r="A6" s="13">
        <v>0</v>
      </c>
      <c r="B6" s="10" t="s">
        <v>62</v>
      </c>
      <c r="C6" s="14">
        <f t="shared" ref="C6:C54" si="1">A6+H6-L6</f>
        <v>0</v>
      </c>
      <c r="D6" s="6"/>
      <c r="E6" s="6" t="str">
        <f t="shared" si="0"/>
        <v/>
      </c>
      <c r="F6" s="9"/>
      <c r="G6" s="10" t="s">
        <v>62</v>
      </c>
      <c r="H6" s="6">
        <v>0</v>
      </c>
      <c r="I6" s="6"/>
      <c r="J6" s="9"/>
      <c r="K6" s="10" t="s">
        <v>62</v>
      </c>
      <c r="L6" s="6">
        <v>0</v>
      </c>
      <c r="M6" s="10"/>
    </row>
    <row r="7" spans="1:13" ht="19.899999999999999" customHeight="1">
      <c r="A7" s="13">
        <v>0</v>
      </c>
      <c r="B7" s="10" t="s">
        <v>63</v>
      </c>
      <c r="C7" s="14">
        <f t="shared" si="1"/>
        <v>0</v>
      </c>
      <c r="D7" s="6"/>
      <c r="E7" s="6" t="str">
        <f t="shared" si="0"/>
        <v/>
      </c>
      <c r="F7" s="9"/>
      <c r="G7" s="10" t="s">
        <v>63</v>
      </c>
      <c r="H7" s="6">
        <v>0</v>
      </c>
      <c r="I7" s="6"/>
      <c r="J7" s="9"/>
      <c r="K7" s="10" t="s">
        <v>63</v>
      </c>
      <c r="L7" s="6">
        <v>0</v>
      </c>
      <c r="M7" s="10"/>
    </row>
    <row r="8" spans="1:13" ht="19.899999999999999" customHeight="1">
      <c r="A8" s="13">
        <v>0</v>
      </c>
      <c r="B8" s="10" t="s">
        <v>64</v>
      </c>
      <c r="C8" s="14">
        <f t="shared" si="1"/>
        <v>0</v>
      </c>
      <c r="D8" s="6"/>
      <c r="E8" s="6" t="str">
        <f t="shared" si="0"/>
        <v/>
      </c>
      <c r="F8" s="9"/>
      <c r="G8" s="10" t="s">
        <v>64</v>
      </c>
      <c r="H8" s="6">
        <v>0</v>
      </c>
      <c r="I8" s="6"/>
      <c r="J8" s="9"/>
      <c r="K8" s="10" t="s">
        <v>64</v>
      </c>
      <c r="L8" s="6">
        <v>0</v>
      </c>
      <c r="M8" s="10"/>
    </row>
    <row r="9" spans="1:13" ht="19.899999999999999" customHeight="1">
      <c r="A9" s="13">
        <v>0</v>
      </c>
      <c r="B9" s="10" t="s">
        <v>65</v>
      </c>
      <c r="C9" s="14">
        <v>0</v>
      </c>
      <c r="D9" s="6"/>
      <c r="E9" s="6" t="str">
        <f t="shared" si="0"/>
        <v/>
      </c>
      <c r="F9" s="9"/>
      <c r="G9" s="10" t="s">
        <v>65</v>
      </c>
      <c r="H9" s="6">
        <v>0</v>
      </c>
      <c r="I9" s="6"/>
      <c r="J9" s="9"/>
      <c r="K9" s="10" t="s">
        <v>65</v>
      </c>
      <c r="L9" s="6">
        <v>0</v>
      </c>
      <c r="M9" s="10"/>
    </row>
    <row r="10" spans="1:13" ht="19.899999999999999" customHeight="1">
      <c r="A10" s="13">
        <v>0</v>
      </c>
      <c r="B10" s="10" t="s">
        <v>66</v>
      </c>
      <c r="C10" s="14">
        <f t="shared" si="1"/>
        <v>50</v>
      </c>
      <c r="D10" s="6"/>
      <c r="E10" s="6" t="str">
        <f t="shared" si="0"/>
        <v/>
      </c>
      <c r="F10" s="9"/>
      <c r="G10" s="10" t="s">
        <v>66</v>
      </c>
      <c r="H10" s="6">
        <v>50</v>
      </c>
      <c r="I10" s="6"/>
      <c r="J10" s="9"/>
      <c r="K10" s="10" t="s">
        <v>66</v>
      </c>
      <c r="L10" s="6">
        <v>0</v>
      </c>
      <c r="M10" s="10"/>
    </row>
    <row r="11" spans="1:13" ht="19.899999999999999" customHeight="1">
      <c r="A11" s="13">
        <v>0</v>
      </c>
      <c r="B11" s="10" t="s">
        <v>67</v>
      </c>
      <c r="C11" s="14">
        <f t="shared" si="1"/>
        <v>0</v>
      </c>
      <c r="D11" s="6"/>
      <c r="E11" s="6" t="str">
        <f t="shared" si="0"/>
        <v/>
      </c>
      <c r="F11" s="9"/>
      <c r="G11" s="10" t="s">
        <v>67</v>
      </c>
      <c r="H11" s="6">
        <v>0</v>
      </c>
      <c r="I11" s="6"/>
      <c r="J11" s="9"/>
      <c r="K11" s="10" t="s">
        <v>67</v>
      </c>
      <c r="L11" s="6">
        <v>0</v>
      </c>
      <c r="M11" s="10"/>
    </row>
    <row r="12" spans="1:13" ht="19.899999999999999" customHeight="1">
      <c r="A12" s="13">
        <v>0</v>
      </c>
      <c r="B12" s="10" t="s">
        <v>68</v>
      </c>
      <c r="C12" s="14">
        <f t="shared" si="1"/>
        <v>0</v>
      </c>
      <c r="D12" s="6"/>
      <c r="E12" s="6" t="str">
        <f t="shared" si="0"/>
        <v/>
      </c>
      <c r="F12" s="9"/>
      <c r="G12" s="10" t="s">
        <v>68</v>
      </c>
      <c r="H12" s="6">
        <v>0</v>
      </c>
      <c r="I12" s="6"/>
      <c r="J12" s="9"/>
      <c r="K12" s="10" t="s">
        <v>68</v>
      </c>
      <c r="L12" s="6">
        <v>0</v>
      </c>
      <c r="M12" s="10"/>
    </row>
    <row r="13" spans="1:13" ht="19.899999999999999" customHeight="1">
      <c r="A13" s="13">
        <v>0</v>
      </c>
      <c r="B13" s="10" t="s">
        <v>69</v>
      </c>
      <c r="C13" s="14">
        <f t="shared" si="1"/>
        <v>0</v>
      </c>
      <c r="D13" s="6"/>
      <c r="E13" s="6" t="str">
        <f t="shared" si="0"/>
        <v/>
      </c>
      <c r="F13" s="9"/>
      <c r="G13" s="10" t="s">
        <v>69</v>
      </c>
      <c r="H13" s="6">
        <v>0</v>
      </c>
      <c r="I13" s="6"/>
      <c r="J13" s="9"/>
      <c r="K13" s="10" t="s">
        <v>69</v>
      </c>
      <c r="L13" s="6">
        <v>0</v>
      </c>
      <c r="M13" s="10"/>
    </row>
    <row r="14" spans="1:13" ht="19.899999999999999" customHeight="1">
      <c r="A14" s="13">
        <v>10</v>
      </c>
      <c r="B14" s="5" t="s">
        <v>70</v>
      </c>
      <c r="C14" s="14">
        <f>A14+H14-L14</f>
        <v>6</v>
      </c>
      <c r="D14" s="6">
        <v>10</v>
      </c>
      <c r="E14" s="6" t="str">
        <f t="shared" si="0"/>
        <v>Place Order</v>
      </c>
      <c r="F14" s="9"/>
      <c r="G14" s="5" t="s">
        <v>70</v>
      </c>
      <c r="H14" s="6">
        <v>0</v>
      </c>
      <c r="I14" s="6"/>
      <c r="J14" s="9"/>
      <c r="K14" s="5" t="s">
        <v>70</v>
      </c>
      <c r="L14" s="6">
        <v>4</v>
      </c>
      <c r="M14" s="10"/>
    </row>
    <row r="15" spans="1:13" ht="19.899999999999999" customHeight="1">
      <c r="A15" s="13">
        <v>0</v>
      </c>
      <c r="B15" s="10" t="s">
        <v>71</v>
      </c>
      <c r="C15" s="14">
        <f t="shared" si="1"/>
        <v>0</v>
      </c>
      <c r="D15" s="6"/>
      <c r="E15" s="6" t="str">
        <f t="shared" si="0"/>
        <v/>
      </c>
      <c r="F15" s="9"/>
      <c r="G15" s="10" t="s">
        <v>71</v>
      </c>
      <c r="H15" s="6">
        <v>0</v>
      </c>
      <c r="I15" s="6"/>
      <c r="J15" s="9"/>
      <c r="K15" s="10" t="s">
        <v>71</v>
      </c>
      <c r="L15" s="6">
        <v>0</v>
      </c>
      <c r="M15" s="10"/>
    </row>
    <row r="16" spans="1:13" ht="19.899999999999999" customHeight="1">
      <c r="A16" s="13">
        <v>0</v>
      </c>
      <c r="B16" s="5" t="s">
        <v>72</v>
      </c>
      <c r="C16" s="14">
        <f t="shared" si="1"/>
        <v>0</v>
      </c>
      <c r="D16" s="6"/>
      <c r="E16" s="6" t="str">
        <f t="shared" si="0"/>
        <v/>
      </c>
      <c r="F16" s="9"/>
      <c r="G16" s="5" t="s">
        <v>72</v>
      </c>
      <c r="H16" s="6">
        <v>0</v>
      </c>
      <c r="I16" s="6"/>
      <c r="J16" s="9"/>
      <c r="K16" s="5" t="s">
        <v>72</v>
      </c>
      <c r="L16" s="6">
        <v>0</v>
      </c>
      <c r="M16" s="10"/>
    </row>
    <row r="17" spans="1:13" ht="19.899999999999999" customHeight="1">
      <c r="A17" s="13">
        <v>0</v>
      </c>
      <c r="B17" s="5" t="s">
        <v>73</v>
      </c>
      <c r="C17" s="14">
        <f t="shared" si="1"/>
        <v>0</v>
      </c>
      <c r="D17" s="6"/>
      <c r="E17" s="6" t="str">
        <f t="shared" si="0"/>
        <v/>
      </c>
      <c r="F17" s="9"/>
      <c r="G17" s="5" t="s">
        <v>73</v>
      </c>
      <c r="H17" s="6">
        <v>0</v>
      </c>
      <c r="I17" s="6"/>
      <c r="J17" s="9"/>
      <c r="K17" s="5" t="s">
        <v>73</v>
      </c>
      <c r="L17" s="6">
        <v>0</v>
      </c>
      <c r="M17" s="10"/>
    </row>
    <row r="18" spans="1:13" ht="19.899999999999999" customHeight="1">
      <c r="A18" s="13">
        <v>2</v>
      </c>
      <c r="B18" s="5" t="s">
        <v>74</v>
      </c>
      <c r="C18" s="14">
        <f>A18+H18-L18</f>
        <v>2</v>
      </c>
      <c r="D18" s="6"/>
      <c r="E18" s="6" t="str">
        <f t="shared" si="0"/>
        <v/>
      </c>
      <c r="F18" s="9"/>
      <c r="G18" s="5" t="s">
        <v>74</v>
      </c>
      <c r="H18" s="6">
        <v>0</v>
      </c>
      <c r="I18" s="6"/>
      <c r="J18" s="9"/>
      <c r="K18" s="5" t="s">
        <v>74</v>
      </c>
      <c r="L18" s="6">
        <v>0</v>
      </c>
      <c r="M18" s="10"/>
    </row>
    <row r="19" spans="1:13" ht="19.899999999999999" customHeight="1">
      <c r="A19" s="13">
        <v>0</v>
      </c>
      <c r="B19" s="5" t="s">
        <v>75</v>
      </c>
      <c r="C19" s="14">
        <f t="shared" si="1"/>
        <v>0</v>
      </c>
      <c r="D19" s="6"/>
      <c r="E19" s="6" t="str">
        <f t="shared" si="0"/>
        <v/>
      </c>
      <c r="F19" s="9"/>
      <c r="G19" s="5" t="s">
        <v>75</v>
      </c>
      <c r="H19" s="6">
        <v>0</v>
      </c>
      <c r="I19" s="6"/>
      <c r="J19" s="9"/>
      <c r="K19" s="5" t="s">
        <v>75</v>
      </c>
      <c r="L19" s="6">
        <v>0</v>
      </c>
      <c r="M19" s="10"/>
    </row>
    <row r="20" spans="1:13" ht="19.899999999999999" customHeight="1">
      <c r="A20" s="13">
        <v>8</v>
      </c>
      <c r="B20" s="20" t="s">
        <v>76</v>
      </c>
      <c r="C20" s="14">
        <f t="shared" si="1"/>
        <v>0</v>
      </c>
      <c r="D20" s="6"/>
      <c r="E20" s="6" t="str">
        <f t="shared" si="0"/>
        <v/>
      </c>
      <c r="F20" s="9"/>
      <c r="G20" s="20" t="s">
        <v>76</v>
      </c>
      <c r="H20" s="6">
        <v>0</v>
      </c>
      <c r="I20" s="6"/>
      <c r="J20" s="9"/>
      <c r="K20" s="20" t="s">
        <v>76</v>
      </c>
      <c r="L20" s="6">
        <v>8</v>
      </c>
      <c r="M20" s="10"/>
    </row>
    <row r="21" spans="1:13" ht="19.899999999999999" customHeight="1">
      <c r="A21" s="13">
        <v>0</v>
      </c>
      <c r="B21" s="5" t="s">
        <v>77</v>
      </c>
      <c r="C21" s="14">
        <f t="shared" si="1"/>
        <v>0</v>
      </c>
      <c r="D21" s="6"/>
      <c r="E21" s="6" t="str">
        <f t="shared" si="0"/>
        <v/>
      </c>
      <c r="F21" s="9"/>
      <c r="G21" s="5" t="s">
        <v>77</v>
      </c>
      <c r="H21" s="6">
        <v>0</v>
      </c>
      <c r="I21" s="6"/>
      <c r="J21" s="9"/>
      <c r="K21" s="5" t="s">
        <v>77</v>
      </c>
      <c r="L21" s="6">
        <v>0</v>
      </c>
      <c r="M21" s="10"/>
    </row>
    <row r="22" spans="1:13" ht="19.899999999999999" customHeight="1">
      <c r="A22" s="13">
        <v>4</v>
      </c>
      <c r="B22" s="10" t="s">
        <v>78</v>
      </c>
      <c r="C22" s="14">
        <f>A22-L22</f>
        <v>2</v>
      </c>
      <c r="D22" s="6"/>
      <c r="E22" s="6" t="str">
        <f t="shared" si="0"/>
        <v/>
      </c>
      <c r="F22" s="9"/>
      <c r="G22" s="10" t="s">
        <v>78</v>
      </c>
      <c r="H22" s="6">
        <v>4</v>
      </c>
      <c r="I22" s="6"/>
      <c r="J22" s="9"/>
      <c r="K22" s="10" t="s">
        <v>78</v>
      </c>
      <c r="L22" s="6">
        <v>2</v>
      </c>
      <c r="M22" s="10"/>
    </row>
    <row r="23" spans="1:13" ht="19.899999999999999" customHeight="1">
      <c r="A23" s="13">
        <v>0</v>
      </c>
      <c r="B23" s="5" t="s">
        <v>79</v>
      </c>
      <c r="C23" s="14">
        <f t="shared" si="1"/>
        <v>0</v>
      </c>
      <c r="D23" s="6"/>
      <c r="E23" s="6" t="str">
        <f t="shared" si="0"/>
        <v/>
      </c>
      <c r="F23" s="9"/>
      <c r="G23" s="5" t="s">
        <v>79</v>
      </c>
      <c r="H23" s="6">
        <v>0</v>
      </c>
      <c r="I23" s="6"/>
      <c r="J23" s="9"/>
      <c r="K23" s="5" t="s">
        <v>79</v>
      </c>
      <c r="L23" s="6">
        <v>0</v>
      </c>
      <c r="M23" s="10"/>
    </row>
    <row r="24" spans="1:13" ht="19.899999999999999" customHeight="1">
      <c r="A24" s="13">
        <v>0</v>
      </c>
      <c r="B24" s="5" t="s">
        <v>80</v>
      </c>
      <c r="C24" s="14">
        <f t="shared" si="1"/>
        <v>0</v>
      </c>
      <c r="D24" s="6"/>
      <c r="E24" s="6" t="str">
        <f t="shared" si="0"/>
        <v/>
      </c>
      <c r="F24" s="9"/>
      <c r="G24" s="5" t="s">
        <v>80</v>
      </c>
      <c r="H24" s="6">
        <v>0</v>
      </c>
      <c r="I24" s="6"/>
      <c r="J24" s="9"/>
      <c r="K24" s="5" t="s">
        <v>80</v>
      </c>
      <c r="L24" s="6">
        <v>0</v>
      </c>
      <c r="M24" s="10"/>
    </row>
    <row r="25" spans="1:13" ht="19.899999999999999" customHeight="1">
      <c r="A25" s="13">
        <v>0</v>
      </c>
      <c r="B25" s="5" t="s">
        <v>81</v>
      </c>
      <c r="C25" s="14">
        <f>H25-L25</f>
        <v>1</v>
      </c>
      <c r="D25" s="6"/>
      <c r="E25" s="6" t="str">
        <f t="shared" si="0"/>
        <v/>
      </c>
      <c r="F25" s="9"/>
      <c r="G25" s="5" t="s">
        <v>81</v>
      </c>
      <c r="H25" s="6">
        <v>1</v>
      </c>
      <c r="I25" s="6"/>
      <c r="J25" s="9"/>
      <c r="K25" s="5" t="s">
        <v>81</v>
      </c>
      <c r="L25" s="6">
        <v>0</v>
      </c>
      <c r="M25" s="10"/>
    </row>
    <row r="26" spans="1:13" ht="19.899999999999999" customHeight="1">
      <c r="A26" s="13">
        <v>5</v>
      </c>
      <c r="B26" s="5" t="s">
        <v>82</v>
      </c>
      <c r="C26" s="14">
        <f t="shared" si="1"/>
        <v>5</v>
      </c>
      <c r="D26" s="6">
        <v>2</v>
      </c>
      <c r="E26" s="6" t="str">
        <f t="shared" si="0"/>
        <v/>
      </c>
      <c r="F26" s="9"/>
      <c r="G26" s="5" t="s">
        <v>82</v>
      </c>
      <c r="H26" s="6">
        <v>0</v>
      </c>
      <c r="I26" s="6"/>
      <c r="J26" s="9"/>
      <c r="K26" s="5" t="s">
        <v>82</v>
      </c>
      <c r="L26" s="6">
        <v>0</v>
      </c>
      <c r="M26" s="10"/>
    </row>
    <row r="27" spans="1:13" ht="19.899999999999999" customHeight="1">
      <c r="A27" s="13">
        <v>0</v>
      </c>
      <c r="B27" s="10" t="s">
        <v>83</v>
      </c>
      <c r="C27" s="14">
        <f t="shared" si="1"/>
        <v>0</v>
      </c>
      <c r="D27" s="6"/>
      <c r="E27" s="6" t="str">
        <f t="shared" si="0"/>
        <v/>
      </c>
      <c r="F27" s="9"/>
      <c r="G27" s="10" t="s">
        <v>83</v>
      </c>
      <c r="H27" s="6">
        <v>0</v>
      </c>
      <c r="I27" s="6"/>
      <c r="J27" s="9"/>
      <c r="K27" s="10" t="s">
        <v>83</v>
      </c>
      <c r="L27" s="6">
        <v>0</v>
      </c>
      <c r="M27" s="10"/>
    </row>
    <row r="28" spans="1:13" ht="19.899999999999999" customHeight="1">
      <c r="A28" s="13">
        <v>3</v>
      </c>
      <c r="B28" s="5" t="s">
        <v>84</v>
      </c>
      <c r="C28" s="14">
        <f>A28-L28</f>
        <v>3</v>
      </c>
      <c r="D28" s="6">
        <v>1</v>
      </c>
      <c r="E28" s="6" t="str">
        <f t="shared" ref="E28:E52" si="2">IF(C28&lt;D28,"Place Order","")</f>
        <v/>
      </c>
      <c r="F28" s="9"/>
      <c r="G28" s="5" t="s">
        <v>84</v>
      </c>
      <c r="H28" s="6">
        <v>0</v>
      </c>
      <c r="I28" s="6"/>
      <c r="J28" s="9"/>
      <c r="K28" s="5" t="s">
        <v>84</v>
      </c>
      <c r="L28" s="6">
        <v>0</v>
      </c>
      <c r="M28" s="10"/>
    </row>
    <row r="29" spans="1:13" ht="19.899999999999999" customHeight="1">
      <c r="A29" s="13">
        <v>0</v>
      </c>
      <c r="B29" s="10" t="s">
        <v>85</v>
      </c>
      <c r="C29" s="14">
        <f t="shared" si="1"/>
        <v>0</v>
      </c>
      <c r="D29" s="6"/>
      <c r="E29" s="6" t="str">
        <f t="shared" si="2"/>
        <v/>
      </c>
      <c r="F29" s="9"/>
      <c r="G29" s="10" t="s">
        <v>85</v>
      </c>
      <c r="H29" s="6">
        <v>0</v>
      </c>
      <c r="I29" s="6"/>
      <c r="J29" s="9"/>
      <c r="K29" s="10" t="s">
        <v>85</v>
      </c>
      <c r="L29" s="6">
        <v>0</v>
      </c>
      <c r="M29" s="10"/>
    </row>
    <row r="30" spans="1:13" ht="19.899999999999999" customHeight="1">
      <c r="A30" s="13">
        <v>0</v>
      </c>
      <c r="B30" s="10" t="s">
        <v>86</v>
      </c>
      <c r="C30" s="14">
        <f t="shared" si="1"/>
        <v>0</v>
      </c>
      <c r="D30" s="6"/>
      <c r="E30" s="6" t="str">
        <f t="shared" si="2"/>
        <v/>
      </c>
      <c r="F30" s="9"/>
      <c r="G30" s="10" t="s">
        <v>86</v>
      </c>
      <c r="H30" s="6">
        <v>0</v>
      </c>
      <c r="I30" s="6"/>
      <c r="J30" s="9"/>
      <c r="K30" s="10" t="s">
        <v>86</v>
      </c>
      <c r="L30" s="6">
        <v>0</v>
      </c>
      <c r="M30" s="10"/>
    </row>
    <row r="31" spans="1:13" ht="19.899999999999999" customHeight="1">
      <c r="A31" s="13">
        <v>5</v>
      </c>
      <c r="B31" s="5" t="s">
        <v>87</v>
      </c>
      <c r="C31" s="14">
        <f>A31+H31-L31</f>
        <v>5</v>
      </c>
      <c r="D31" s="6">
        <v>2</v>
      </c>
      <c r="E31" s="6" t="str">
        <f t="shared" si="2"/>
        <v/>
      </c>
      <c r="F31" s="9"/>
      <c r="G31" s="5" t="s">
        <v>87</v>
      </c>
      <c r="H31" s="6">
        <v>0</v>
      </c>
      <c r="I31" s="6"/>
      <c r="J31" s="9"/>
      <c r="K31" s="5" t="s">
        <v>87</v>
      </c>
      <c r="L31" s="6">
        <v>0</v>
      </c>
      <c r="M31" s="10"/>
    </row>
    <row r="32" spans="1:13" ht="19.899999999999999" customHeight="1">
      <c r="A32" s="13">
        <v>0</v>
      </c>
      <c r="B32" s="5" t="s">
        <v>88</v>
      </c>
      <c r="C32" s="14">
        <f t="shared" si="1"/>
        <v>0</v>
      </c>
      <c r="D32" s="6"/>
      <c r="E32" s="6" t="str">
        <f t="shared" si="2"/>
        <v/>
      </c>
      <c r="F32" s="9"/>
      <c r="G32" s="5" t="s">
        <v>88</v>
      </c>
      <c r="H32" s="6">
        <v>0</v>
      </c>
      <c r="I32" s="6"/>
      <c r="J32" s="9"/>
      <c r="K32" s="5" t="s">
        <v>88</v>
      </c>
      <c r="L32" s="6">
        <v>0</v>
      </c>
      <c r="M32" s="10"/>
    </row>
    <row r="33" spans="1:13" ht="19.899999999999999" customHeight="1">
      <c r="A33" s="13">
        <v>0</v>
      </c>
      <c r="B33" s="5" t="s">
        <v>89</v>
      </c>
      <c r="C33" s="14">
        <f t="shared" si="1"/>
        <v>0</v>
      </c>
      <c r="D33" s="6"/>
      <c r="E33" s="6" t="str">
        <f t="shared" si="2"/>
        <v/>
      </c>
      <c r="F33" s="9"/>
      <c r="G33" s="5" t="s">
        <v>89</v>
      </c>
      <c r="H33" s="6">
        <v>0</v>
      </c>
      <c r="I33" s="6"/>
      <c r="J33" s="9"/>
      <c r="K33" s="5" t="s">
        <v>89</v>
      </c>
      <c r="L33" s="6">
        <v>0</v>
      </c>
      <c r="M33" s="10"/>
    </row>
    <row r="34" spans="1:13" ht="19.899999999999999" customHeight="1">
      <c r="A34" s="13">
        <v>0</v>
      </c>
      <c r="B34" s="10" t="s">
        <v>90</v>
      </c>
      <c r="C34" s="14">
        <f t="shared" si="1"/>
        <v>0</v>
      </c>
      <c r="D34" s="6"/>
      <c r="E34" s="6" t="str">
        <f t="shared" si="2"/>
        <v/>
      </c>
      <c r="F34" s="9"/>
      <c r="G34" s="10" t="s">
        <v>90</v>
      </c>
      <c r="H34" s="6">
        <v>0</v>
      </c>
      <c r="I34" s="6"/>
      <c r="J34" s="9"/>
      <c r="K34" s="10" t="s">
        <v>90</v>
      </c>
      <c r="L34" s="6">
        <v>0</v>
      </c>
      <c r="M34" s="10"/>
    </row>
    <row r="35" spans="1:13" ht="19.899999999999999" customHeight="1">
      <c r="A35" s="13">
        <v>0</v>
      </c>
      <c r="B35" s="10" t="s">
        <v>91</v>
      </c>
      <c r="C35" s="14">
        <f t="shared" si="1"/>
        <v>0</v>
      </c>
      <c r="D35" s="6"/>
      <c r="E35" s="6" t="str">
        <f t="shared" si="2"/>
        <v/>
      </c>
      <c r="F35" s="9"/>
      <c r="G35" s="10" t="s">
        <v>91</v>
      </c>
      <c r="H35" s="6">
        <v>0</v>
      </c>
      <c r="I35" s="6"/>
      <c r="J35" s="9"/>
      <c r="K35" s="10" t="s">
        <v>91</v>
      </c>
      <c r="L35" s="6">
        <v>0</v>
      </c>
      <c r="M35" s="10"/>
    </row>
    <row r="36" spans="1:13" ht="19.899999999999999" customHeight="1">
      <c r="A36" s="13">
        <v>0</v>
      </c>
      <c r="B36" s="10" t="s">
        <v>92</v>
      </c>
      <c r="C36" s="14">
        <f t="shared" si="1"/>
        <v>0</v>
      </c>
      <c r="D36" s="6"/>
      <c r="E36" s="6" t="str">
        <f t="shared" si="2"/>
        <v/>
      </c>
      <c r="F36" s="9"/>
      <c r="G36" s="10" t="s">
        <v>92</v>
      </c>
      <c r="H36" s="6">
        <v>0</v>
      </c>
      <c r="I36" s="6"/>
      <c r="J36" s="9"/>
      <c r="K36" s="10" t="s">
        <v>92</v>
      </c>
      <c r="L36" s="6">
        <v>0</v>
      </c>
      <c r="M36" s="10"/>
    </row>
    <row r="37" spans="1:13" ht="19.899999999999999" customHeight="1">
      <c r="A37" s="13">
        <v>0</v>
      </c>
      <c r="B37" s="10" t="s">
        <v>93</v>
      </c>
      <c r="C37" s="14">
        <f t="shared" si="1"/>
        <v>0</v>
      </c>
      <c r="D37" s="6"/>
      <c r="E37" s="6" t="str">
        <f t="shared" si="2"/>
        <v/>
      </c>
      <c r="F37" s="9"/>
      <c r="G37" s="10" t="s">
        <v>93</v>
      </c>
      <c r="H37" s="6">
        <v>0</v>
      </c>
      <c r="I37" s="6"/>
      <c r="J37" s="9"/>
      <c r="K37" s="10" t="s">
        <v>93</v>
      </c>
      <c r="L37" s="6">
        <v>0</v>
      </c>
      <c r="M37" s="10"/>
    </row>
    <row r="38" spans="1:13" ht="19.899999999999999" customHeight="1">
      <c r="A38" s="13">
        <v>0</v>
      </c>
      <c r="B38" s="5" t="s">
        <v>94</v>
      </c>
      <c r="C38" s="14">
        <f t="shared" si="1"/>
        <v>0</v>
      </c>
      <c r="D38" s="6"/>
      <c r="E38" s="6" t="str">
        <f t="shared" si="2"/>
        <v/>
      </c>
      <c r="F38" s="9"/>
      <c r="G38" s="5" t="s">
        <v>94</v>
      </c>
      <c r="H38" s="6">
        <v>0</v>
      </c>
      <c r="I38" s="6"/>
      <c r="J38" s="9"/>
      <c r="K38" s="5" t="s">
        <v>94</v>
      </c>
      <c r="L38" s="6">
        <v>0</v>
      </c>
      <c r="M38" s="10"/>
    </row>
    <row r="39" spans="1:13" ht="19.899999999999999" customHeight="1">
      <c r="A39" s="13">
        <v>0</v>
      </c>
      <c r="B39" s="5" t="s">
        <v>95</v>
      </c>
      <c r="C39" s="14">
        <f t="shared" si="1"/>
        <v>0</v>
      </c>
      <c r="D39" s="6"/>
      <c r="E39" s="6" t="str">
        <f t="shared" si="2"/>
        <v/>
      </c>
      <c r="F39" s="9"/>
      <c r="G39" s="5" t="s">
        <v>95</v>
      </c>
      <c r="H39" s="6">
        <v>0</v>
      </c>
      <c r="I39" s="6"/>
      <c r="J39" s="9"/>
      <c r="K39" s="5" t="s">
        <v>95</v>
      </c>
      <c r="L39" s="6">
        <v>0</v>
      </c>
      <c r="M39" s="10"/>
    </row>
    <row r="40" spans="1:13" ht="19.899999999999999" customHeight="1">
      <c r="A40" s="13">
        <v>3</v>
      </c>
      <c r="B40" s="10" t="s">
        <v>96</v>
      </c>
      <c r="C40" s="14">
        <f>A40+H40-L40</f>
        <v>1</v>
      </c>
      <c r="D40" s="6">
        <v>2</v>
      </c>
      <c r="E40" s="6" t="str">
        <f t="shared" si="2"/>
        <v>Place Order</v>
      </c>
      <c r="F40" s="9"/>
      <c r="G40" s="10" t="s">
        <v>96</v>
      </c>
      <c r="H40" s="6">
        <v>0</v>
      </c>
      <c r="I40" s="6"/>
      <c r="J40" s="9"/>
      <c r="K40" s="10" t="s">
        <v>96</v>
      </c>
      <c r="L40" s="6">
        <v>2</v>
      </c>
      <c r="M40" s="10"/>
    </row>
    <row r="41" spans="1:13" ht="19.899999999999999" customHeight="1">
      <c r="A41" s="13">
        <v>0</v>
      </c>
      <c r="B41" s="20" t="s">
        <v>97</v>
      </c>
      <c r="C41" s="14">
        <f t="shared" si="1"/>
        <v>0</v>
      </c>
      <c r="D41" s="6"/>
      <c r="E41" s="6" t="str">
        <f t="shared" si="2"/>
        <v/>
      </c>
      <c r="F41" s="9"/>
      <c r="G41" s="20" t="s">
        <v>97</v>
      </c>
      <c r="H41" s="6">
        <v>0</v>
      </c>
      <c r="I41" s="6"/>
      <c r="J41" s="9"/>
      <c r="K41" s="20" t="s">
        <v>97</v>
      </c>
      <c r="L41" s="6">
        <v>0</v>
      </c>
      <c r="M41" s="10"/>
    </row>
    <row r="42" spans="1:13" ht="19.899999999999999" customHeight="1">
      <c r="A42" s="13">
        <v>0</v>
      </c>
      <c r="B42" s="20" t="s">
        <v>98</v>
      </c>
      <c r="C42" s="14">
        <f t="shared" si="1"/>
        <v>4</v>
      </c>
      <c r="D42" s="6">
        <v>6</v>
      </c>
      <c r="E42" s="6" t="str">
        <f t="shared" si="2"/>
        <v>Place Order</v>
      </c>
      <c r="F42" s="9"/>
      <c r="G42" s="20" t="s">
        <v>98</v>
      </c>
      <c r="H42" s="6">
        <v>12</v>
      </c>
      <c r="I42" s="6"/>
      <c r="J42" s="9"/>
      <c r="K42" s="20" t="s">
        <v>98</v>
      </c>
      <c r="L42" s="6">
        <v>8</v>
      </c>
      <c r="M42" s="10"/>
    </row>
    <row r="43" spans="1:13" ht="19.899999999999999" customHeight="1">
      <c r="A43" s="13">
        <v>0</v>
      </c>
      <c r="B43" s="5" t="s">
        <v>99</v>
      </c>
      <c r="C43" s="14">
        <f t="shared" si="1"/>
        <v>0</v>
      </c>
      <c r="D43" s="6"/>
      <c r="E43" s="6" t="str">
        <f t="shared" si="2"/>
        <v/>
      </c>
      <c r="F43" s="9"/>
      <c r="G43" s="5" t="s">
        <v>99</v>
      </c>
      <c r="H43" s="6">
        <v>0</v>
      </c>
      <c r="I43" s="6"/>
      <c r="J43" s="9"/>
      <c r="K43" s="5" t="s">
        <v>99</v>
      </c>
      <c r="L43" s="6">
        <v>0</v>
      </c>
      <c r="M43" s="10"/>
    </row>
    <row r="44" spans="1:13" ht="19.899999999999999" customHeight="1">
      <c r="A44" s="13">
        <v>0</v>
      </c>
      <c r="B44" s="5" t="s">
        <v>100</v>
      </c>
      <c r="C44" s="14">
        <f t="shared" si="1"/>
        <v>0</v>
      </c>
      <c r="D44" s="6"/>
      <c r="E44" s="6" t="str">
        <f t="shared" si="2"/>
        <v/>
      </c>
      <c r="F44" s="9"/>
      <c r="G44" s="5" t="s">
        <v>100</v>
      </c>
      <c r="H44" s="6">
        <v>0</v>
      </c>
      <c r="I44" s="6"/>
      <c r="J44" s="9"/>
      <c r="K44" s="5" t="s">
        <v>100</v>
      </c>
      <c r="L44" s="6">
        <v>0</v>
      </c>
      <c r="M44" s="10"/>
    </row>
    <row r="45" spans="1:13" ht="19.899999999999999" customHeight="1">
      <c r="A45" s="13">
        <v>0</v>
      </c>
      <c r="B45" s="5" t="s">
        <v>101</v>
      </c>
      <c r="C45" s="14">
        <f t="shared" si="1"/>
        <v>0</v>
      </c>
      <c r="D45" s="6"/>
      <c r="E45" s="6" t="str">
        <f t="shared" si="2"/>
        <v/>
      </c>
      <c r="F45" s="9"/>
      <c r="G45" s="5" t="s">
        <v>101</v>
      </c>
      <c r="H45" s="6">
        <v>0</v>
      </c>
      <c r="I45" s="6"/>
      <c r="J45" s="9"/>
      <c r="K45" s="5" t="s">
        <v>101</v>
      </c>
      <c r="L45" s="6">
        <v>0</v>
      </c>
      <c r="M45" s="10"/>
    </row>
    <row r="46" spans="1:13" ht="19.899999999999999" customHeight="1">
      <c r="A46" s="13">
        <v>0</v>
      </c>
      <c r="B46" s="5" t="s">
        <v>102</v>
      </c>
      <c r="C46" s="14">
        <f t="shared" si="1"/>
        <v>0</v>
      </c>
      <c r="D46" s="6"/>
      <c r="E46" s="6" t="str">
        <f t="shared" si="2"/>
        <v/>
      </c>
      <c r="F46" s="9"/>
      <c r="G46" s="5" t="s">
        <v>102</v>
      </c>
      <c r="H46" s="6">
        <v>0</v>
      </c>
      <c r="I46" s="6"/>
      <c r="J46" s="9"/>
      <c r="K46" s="5" t="s">
        <v>102</v>
      </c>
      <c r="L46" s="6">
        <v>0</v>
      </c>
      <c r="M46" s="10"/>
    </row>
    <row r="47" spans="1:13" ht="19.899999999999999" customHeight="1">
      <c r="A47" s="13">
        <v>0</v>
      </c>
      <c r="B47" s="5" t="s">
        <v>103</v>
      </c>
      <c r="C47" s="14">
        <f t="shared" si="1"/>
        <v>0</v>
      </c>
      <c r="D47" s="6"/>
      <c r="E47" s="6" t="str">
        <f t="shared" si="2"/>
        <v/>
      </c>
      <c r="F47" s="9"/>
      <c r="G47" s="5" t="s">
        <v>103</v>
      </c>
      <c r="H47" s="6">
        <v>0</v>
      </c>
      <c r="I47" s="6"/>
      <c r="J47" s="9"/>
      <c r="K47" s="5" t="s">
        <v>103</v>
      </c>
      <c r="L47" s="6">
        <v>0</v>
      </c>
      <c r="M47" s="10"/>
    </row>
    <row r="48" spans="1:13" ht="19.899999999999999" customHeight="1">
      <c r="A48" s="13">
        <v>1</v>
      </c>
      <c r="B48" s="10" t="s">
        <v>104</v>
      </c>
      <c r="C48" s="14">
        <f t="shared" si="1"/>
        <v>0</v>
      </c>
      <c r="D48" s="6">
        <v>1</v>
      </c>
      <c r="E48" s="6" t="str">
        <f t="shared" si="2"/>
        <v>Place Order</v>
      </c>
      <c r="F48" s="9"/>
      <c r="G48" s="10" t="s">
        <v>104</v>
      </c>
      <c r="H48" s="6">
        <v>0</v>
      </c>
      <c r="I48" s="6"/>
      <c r="J48" s="9"/>
      <c r="K48" s="10" t="s">
        <v>104</v>
      </c>
      <c r="L48" s="6">
        <v>1</v>
      </c>
      <c r="M48" s="10"/>
    </row>
    <row r="49" spans="1:13" ht="19.899999999999999" customHeight="1">
      <c r="A49" s="13">
        <v>0</v>
      </c>
      <c r="B49" s="10" t="s">
        <v>105</v>
      </c>
      <c r="C49" s="14">
        <f t="shared" si="1"/>
        <v>0</v>
      </c>
      <c r="D49" s="6"/>
      <c r="E49" s="6" t="str">
        <f t="shared" si="2"/>
        <v/>
      </c>
      <c r="F49" s="9"/>
      <c r="G49" s="10" t="s">
        <v>105</v>
      </c>
      <c r="H49" s="6">
        <v>0</v>
      </c>
      <c r="I49" s="6"/>
      <c r="J49" s="9"/>
      <c r="K49" s="10" t="s">
        <v>105</v>
      </c>
      <c r="L49" s="6">
        <v>0</v>
      </c>
      <c r="M49" s="10"/>
    </row>
    <row r="50" spans="1:13" ht="19.899999999999999" customHeight="1">
      <c r="A50" s="13">
        <v>1</v>
      </c>
      <c r="B50" s="10" t="s">
        <v>106</v>
      </c>
      <c r="C50" s="14">
        <f t="shared" si="1"/>
        <v>1</v>
      </c>
      <c r="D50" s="6"/>
      <c r="E50" s="6" t="str">
        <f t="shared" si="2"/>
        <v/>
      </c>
      <c r="F50" s="9"/>
      <c r="G50" s="10" t="s">
        <v>106</v>
      </c>
      <c r="H50" s="6">
        <v>0</v>
      </c>
      <c r="I50" s="6"/>
      <c r="J50" s="9"/>
      <c r="K50" s="10" t="s">
        <v>106</v>
      </c>
      <c r="L50" s="6">
        <v>0</v>
      </c>
      <c r="M50" s="10"/>
    </row>
    <row r="51" spans="1:13" ht="19.899999999999999" customHeight="1">
      <c r="A51" s="13">
        <v>2</v>
      </c>
      <c r="B51" s="5" t="s">
        <v>107</v>
      </c>
      <c r="C51" s="14">
        <f t="shared" si="1"/>
        <v>4</v>
      </c>
      <c r="D51" s="6"/>
      <c r="E51" s="6" t="str">
        <f t="shared" si="2"/>
        <v/>
      </c>
      <c r="F51" s="9"/>
      <c r="G51" s="5" t="s">
        <v>107</v>
      </c>
      <c r="H51" s="6">
        <v>4</v>
      </c>
      <c r="I51" s="6"/>
      <c r="J51" s="9"/>
      <c r="K51" s="5" t="s">
        <v>107</v>
      </c>
      <c r="L51" s="6">
        <v>2</v>
      </c>
      <c r="M51" s="10"/>
    </row>
    <row r="52" spans="1:13">
      <c r="A52" s="13">
        <v>0</v>
      </c>
      <c r="B52" s="5" t="s">
        <v>108</v>
      </c>
      <c r="C52" s="14">
        <f t="shared" si="1"/>
        <v>0</v>
      </c>
      <c r="D52" s="6"/>
      <c r="E52" s="6" t="str">
        <f t="shared" si="2"/>
        <v/>
      </c>
      <c r="F52" s="9"/>
      <c r="G52" s="5" t="s">
        <v>108</v>
      </c>
      <c r="H52" s="6">
        <v>0</v>
      </c>
      <c r="I52" s="6"/>
      <c r="J52" s="9"/>
      <c r="K52" s="5" t="s">
        <v>108</v>
      </c>
      <c r="L52" s="6">
        <v>0</v>
      </c>
      <c r="M52" s="10"/>
    </row>
    <row r="53" spans="1:13">
      <c r="A53" s="13">
        <v>0</v>
      </c>
      <c r="B53" s="5" t="s">
        <v>109</v>
      </c>
      <c r="C53" s="14">
        <f t="shared" si="1"/>
        <v>0</v>
      </c>
      <c r="D53" s="6"/>
      <c r="E53" s="6" t="str">
        <f t="shared" ref="E53:E63" si="3">IF(C53&lt;D53,"Place Order","")</f>
        <v/>
      </c>
      <c r="F53" s="9"/>
      <c r="G53" s="5" t="s">
        <v>109</v>
      </c>
      <c r="H53" s="6">
        <v>0</v>
      </c>
      <c r="I53" s="6"/>
      <c r="J53" s="9"/>
      <c r="K53" s="5" t="s">
        <v>109</v>
      </c>
      <c r="L53" s="6">
        <v>0</v>
      </c>
      <c r="M53" s="10"/>
    </row>
    <row r="54" spans="1:13">
      <c r="A54" s="13">
        <v>1</v>
      </c>
      <c r="B54" s="5" t="s">
        <v>110</v>
      </c>
      <c r="C54" s="14">
        <f t="shared" si="1"/>
        <v>1</v>
      </c>
      <c r="D54" s="6"/>
      <c r="E54" s="6" t="str">
        <f t="shared" si="3"/>
        <v/>
      </c>
      <c r="F54" s="9"/>
      <c r="G54" s="5" t="s">
        <v>110</v>
      </c>
      <c r="H54" s="6">
        <v>0</v>
      </c>
      <c r="I54" s="6"/>
      <c r="J54" s="9"/>
      <c r="K54" s="5" t="s">
        <v>110</v>
      </c>
      <c r="L54" s="6">
        <v>0</v>
      </c>
      <c r="M54" s="10"/>
    </row>
    <row r="55" spans="1:13">
      <c r="A55" s="13">
        <v>1</v>
      </c>
      <c r="B55" s="5" t="s">
        <v>111</v>
      </c>
      <c r="C55" s="14">
        <f t="shared" ref="C55:C63" si="4">A55+H55-L55</f>
        <v>1</v>
      </c>
      <c r="D55" s="6"/>
      <c r="E55" s="6" t="str">
        <f t="shared" si="3"/>
        <v/>
      </c>
      <c r="F55" s="9"/>
      <c r="G55" s="5" t="s">
        <v>111</v>
      </c>
      <c r="H55" s="6">
        <v>0</v>
      </c>
      <c r="I55" s="6"/>
      <c r="J55" s="9"/>
      <c r="K55" s="5" t="s">
        <v>111</v>
      </c>
      <c r="L55" s="6">
        <v>0</v>
      </c>
      <c r="M55" s="10"/>
    </row>
    <row r="56" spans="1:13">
      <c r="A56" s="13">
        <v>0</v>
      </c>
      <c r="B56" s="5" t="s">
        <v>112</v>
      </c>
      <c r="C56" s="14">
        <f t="shared" si="4"/>
        <v>0</v>
      </c>
      <c r="D56" s="6"/>
      <c r="E56" s="6" t="str">
        <f t="shared" si="3"/>
        <v/>
      </c>
      <c r="F56" s="9"/>
      <c r="G56" s="5" t="s">
        <v>112</v>
      </c>
      <c r="H56" s="6">
        <v>0</v>
      </c>
      <c r="I56" s="6"/>
      <c r="J56" s="9"/>
      <c r="K56" s="5" t="s">
        <v>112</v>
      </c>
      <c r="L56" s="6">
        <v>0</v>
      </c>
      <c r="M56" s="10"/>
    </row>
    <row r="57" spans="1:13">
      <c r="A57" s="13">
        <v>0</v>
      </c>
      <c r="B57" s="5" t="s">
        <v>113</v>
      </c>
      <c r="C57" s="14">
        <f t="shared" si="4"/>
        <v>0</v>
      </c>
      <c r="D57" s="6"/>
      <c r="E57" s="6" t="str">
        <f t="shared" si="3"/>
        <v/>
      </c>
      <c r="F57" s="9"/>
      <c r="G57" s="5" t="s">
        <v>113</v>
      </c>
      <c r="H57" s="6">
        <v>0</v>
      </c>
      <c r="I57" s="6"/>
      <c r="J57" s="9"/>
      <c r="K57" s="5" t="s">
        <v>113</v>
      </c>
      <c r="L57" s="6">
        <v>0</v>
      </c>
      <c r="M57" s="10"/>
    </row>
    <row r="58" spans="1:13">
      <c r="A58" s="13">
        <v>0</v>
      </c>
      <c r="B58" s="10" t="s">
        <v>114</v>
      </c>
      <c r="C58" s="14">
        <f t="shared" si="4"/>
        <v>0</v>
      </c>
      <c r="D58" s="6"/>
      <c r="E58" s="6" t="str">
        <f t="shared" si="3"/>
        <v/>
      </c>
      <c r="F58" s="9"/>
      <c r="G58" s="10" t="s">
        <v>114</v>
      </c>
      <c r="H58" s="6">
        <v>0</v>
      </c>
      <c r="I58" s="6"/>
      <c r="J58" s="9"/>
      <c r="K58" s="10" t="s">
        <v>114</v>
      </c>
      <c r="L58" s="6">
        <v>0</v>
      </c>
      <c r="M58" s="10"/>
    </row>
    <row r="59" spans="1:13">
      <c r="A59" s="13">
        <v>0</v>
      </c>
      <c r="B59" s="5" t="s">
        <v>115</v>
      </c>
      <c r="C59" s="14">
        <f t="shared" si="4"/>
        <v>0</v>
      </c>
      <c r="D59" s="6"/>
      <c r="E59" s="6" t="str">
        <f t="shared" si="3"/>
        <v/>
      </c>
      <c r="F59" s="9"/>
      <c r="G59" s="5" t="s">
        <v>115</v>
      </c>
      <c r="H59" s="6">
        <v>0</v>
      </c>
      <c r="I59" s="6"/>
      <c r="J59" s="9"/>
      <c r="K59" s="5" t="s">
        <v>115</v>
      </c>
      <c r="L59" s="6">
        <v>0</v>
      </c>
      <c r="M59" s="10"/>
    </row>
    <row r="60" spans="1:13">
      <c r="A60" s="13">
        <v>0</v>
      </c>
      <c r="B60" s="5" t="s">
        <v>116</v>
      </c>
      <c r="C60" s="14">
        <v>1</v>
      </c>
      <c r="D60" s="6">
        <v>1</v>
      </c>
      <c r="E60" s="6" t="str">
        <f t="shared" si="3"/>
        <v/>
      </c>
      <c r="F60" s="9"/>
      <c r="G60" s="5" t="s">
        <v>116</v>
      </c>
      <c r="H60" s="6">
        <v>0</v>
      </c>
      <c r="I60" s="6"/>
      <c r="J60" s="9"/>
      <c r="K60" s="5" t="s">
        <v>116</v>
      </c>
      <c r="L60" s="6">
        <v>0</v>
      </c>
      <c r="M60" s="10"/>
    </row>
    <row r="61" spans="1:13">
      <c r="A61" s="13">
        <v>0</v>
      </c>
      <c r="B61" s="10" t="s">
        <v>117</v>
      </c>
      <c r="C61" s="14">
        <v>1</v>
      </c>
      <c r="D61" s="6"/>
      <c r="E61" s="6" t="str">
        <f t="shared" si="3"/>
        <v/>
      </c>
      <c r="F61" s="9"/>
      <c r="G61" s="10" t="s">
        <v>117</v>
      </c>
      <c r="H61" s="6">
        <v>0</v>
      </c>
      <c r="I61" s="6"/>
      <c r="J61" s="9"/>
      <c r="K61" s="10" t="s">
        <v>117</v>
      </c>
      <c r="L61" s="6">
        <v>0</v>
      </c>
      <c r="M61" s="10"/>
    </row>
    <row r="62" spans="1:13">
      <c r="A62" s="13">
        <v>0</v>
      </c>
      <c r="B62" s="5" t="s">
        <v>118</v>
      </c>
      <c r="C62" s="14">
        <f t="shared" si="4"/>
        <v>0</v>
      </c>
      <c r="D62" s="6">
        <v>1</v>
      </c>
      <c r="E62" s="6" t="str">
        <f t="shared" si="3"/>
        <v>Place Order</v>
      </c>
      <c r="F62" s="9"/>
      <c r="G62" s="5" t="s">
        <v>118</v>
      </c>
      <c r="H62" s="6">
        <v>0</v>
      </c>
      <c r="I62" s="6"/>
      <c r="J62" s="9"/>
      <c r="K62" s="5" t="s">
        <v>118</v>
      </c>
      <c r="L62" s="6">
        <v>0</v>
      </c>
      <c r="M62" s="10"/>
    </row>
    <row r="63" spans="1:13">
      <c r="A63" s="13">
        <v>10</v>
      </c>
      <c r="B63" s="5" t="s">
        <v>119</v>
      </c>
      <c r="C63" s="14">
        <f t="shared" si="4"/>
        <v>8</v>
      </c>
      <c r="D63" s="6">
        <v>2</v>
      </c>
      <c r="E63" s="6" t="str">
        <f t="shared" si="3"/>
        <v/>
      </c>
      <c r="F63" s="9"/>
      <c r="G63" s="5" t="s">
        <v>119</v>
      </c>
      <c r="H63" s="6">
        <v>0</v>
      </c>
      <c r="I63" s="6"/>
      <c r="J63" s="9"/>
      <c r="K63" s="5" t="s">
        <v>119</v>
      </c>
      <c r="L63" s="6">
        <v>2</v>
      </c>
      <c r="M63" s="10"/>
    </row>
    <row r="67" spans="2:11">
      <c r="B67" t="s">
        <v>18</v>
      </c>
      <c r="D67" s="34"/>
      <c r="G67" t="s">
        <v>18</v>
      </c>
      <c r="K67" t="s">
        <v>18</v>
      </c>
    </row>
    <row r="68" spans="2:11">
      <c r="B68" t="s">
        <v>19</v>
      </c>
      <c r="D68" s="34"/>
      <c r="G68" t="s">
        <v>20</v>
      </c>
      <c r="K68" t="s">
        <v>21</v>
      </c>
    </row>
    <row r="69" spans="2:11">
      <c r="B69" t="s">
        <v>22</v>
      </c>
      <c r="D69" s="34"/>
      <c r="G69" t="s">
        <v>23</v>
      </c>
      <c r="K69" t="s">
        <v>24</v>
      </c>
    </row>
    <row r="70" spans="2:11">
      <c r="B70" t="s">
        <v>59</v>
      </c>
      <c r="D70" s="34"/>
      <c r="G70" t="s">
        <v>26</v>
      </c>
      <c r="K70" t="s">
        <v>27</v>
      </c>
    </row>
  </sheetData>
  <sortState xmlns:xlrd2="http://schemas.microsoft.com/office/spreadsheetml/2017/richdata2" ref="B5:B63">
    <sortCondition ref="B5:B63"/>
  </sortState>
  <mergeCells count="8">
    <mergeCell ref="A1:M1"/>
    <mergeCell ref="A3:A4"/>
    <mergeCell ref="B3:C3"/>
    <mergeCell ref="D3:D4"/>
    <mergeCell ref="E3:E4"/>
    <mergeCell ref="A2:M2"/>
    <mergeCell ref="F3:I3"/>
    <mergeCell ref="J3:M3"/>
  </mergeCells>
  <conditionalFormatting sqref="B26 B23">
    <cfRule type="duplicateValues" dxfId="18" priority="102"/>
  </conditionalFormatting>
  <conditionalFormatting sqref="B31">
    <cfRule type="duplicateValues" dxfId="17" priority="9"/>
  </conditionalFormatting>
  <conditionalFormatting sqref="B55:B63 B33:B35 B40:B42 B44:B53">
    <cfRule type="duplicateValues" dxfId="16" priority="123"/>
  </conditionalFormatting>
  <conditionalFormatting sqref="E5:E63">
    <cfRule type="containsText" dxfId="15" priority="12" operator="containsText" text="Place Order">
      <formula>NOT(ISERROR(SEARCH("Place Order",E5)))</formula>
    </cfRule>
    <cfRule type="containsText" dxfId="14" priority="13" operator="containsText" text="Place Order">
      <formula>NOT(ISERROR(SEARCH("Place Order",E5)))</formula>
    </cfRule>
    <cfRule type="containsText" dxfId="13" priority="14" operator="containsText" text="Place Order">
      <formula>NOT(ISERROR(SEARCH("Place Order",E5)))</formula>
    </cfRule>
  </conditionalFormatting>
  <conditionalFormatting sqref="G26 G23">
    <cfRule type="duplicateValues" dxfId="12" priority="115"/>
  </conditionalFormatting>
  <conditionalFormatting sqref="G31">
    <cfRule type="duplicateValues" dxfId="11" priority="5"/>
  </conditionalFormatting>
  <conditionalFormatting sqref="G55:G63 G33:G35 G40:G42 G44:G53">
    <cfRule type="duplicateValues" dxfId="10" priority="134"/>
  </conditionalFormatting>
  <conditionalFormatting sqref="K26 K23">
    <cfRule type="duplicateValues" dxfId="9" priority="122"/>
  </conditionalFormatting>
  <conditionalFormatting sqref="K31">
    <cfRule type="duplicateValues" dxfId="8" priority="1"/>
  </conditionalFormatting>
  <conditionalFormatting sqref="K55:K63 K33:K35 K40:K42 K44:K53">
    <cfRule type="duplicateValues" dxfId="7" priority="139"/>
  </conditionalFormatting>
  <dataValidations count="2">
    <dataValidation type="list" allowBlank="1" showInputMessage="1" showErrorMessage="1" sqref="G64 K64" xr:uid="{73B7A2D2-7885-4EA6-9A26-6B1EEFA14508}">
      <formula1>#REF!</formula1>
    </dataValidation>
    <dataValidation type="list" allowBlank="1" showInputMessage="1" showErrorMessage="1" sqref="G5:G21 K5:K21 G23:G63 K23:K63" xr:uid="{B2E4B3D0-D06E-4053-9665-0E6E51689F43}">
      <formula1>$B$5:$B$63</formula1>
    </dataValidation>
  </dataValidations>
  <pageMargins left="0.11811023622047245" right="0.11811023622047245" top="0.15748031496062992" bottom="0.15748031496062992" header="0.31496062992125984" footer="0.31496062992125984"/>
  <pageSetup paperSize="9" scale="6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1EBB-42ED-42E7-96B9-C6F024BC6852}">
  <dimension ref="A1:N70"/>
  <sheetViews>
    <sheetView view="pageBreakPreview" topLeftCell="A4" zoomScaleNormal="100" zoomScaleSheetLayoutView="100" workbookViewId="0"/>
  </sheetViews>
  <sheetFormatPr defaultColWidth="9.140625" defaultRowHeight="14.25"/>
  <cols>
    <col min="1" max="1" width="32.140625" style="25" bestFit="1" customWidth="1"/>
    <col min="2" max="2" width="9.140625" style="25"/>
    <col min="3" max="3" width="11" style="25" customWidth="1"/>
    <col min="4" max="4" width="13.7109375" style="25" bestFit="1" customWidth="1"/>
    <col min="5" max="5" width="5.42578125" style="25" customWidth="1"/>
    <col min="6" max="6" width="30.7109375" style="25" bestFit="1" customWidth="1"/>
    <col min="7" max="8" width="12.7109375" style="25" customWidth="1"/>
    <col min="9" max="9" width="13.28515625" style="25" bestFit="1" customWidth="1"/>
    <col min="10" max="10" width="5.5703125" style="25" customWidth="1"/>
    <col min="11" max="11" width="28.140625" style="25" bestFit="1" customWidth="1"/>
    <col min="12" max="12" width="12.85546875" style="25" customWidth="1"/>
    <col min="13" max="13" width="12.7109375" style="25" customWidth="1"/>
    <col min="14" max="14" width="15.42578125" style="25" bestFit="1" customWidth="1"/>
    <col min="15" max="16384" width="9.140625" style="25"/>
  </cols>
  <sheetData>
    <row r="1" spans="1:14" ht="25.9" customHeight="1" thickBot="1">
      <c r="A1" s="65" t="s">
        <v>120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7"/>
    </row>
    <row r="2" spans="1:14" ht="24.6" customHeight="1" thickBot="1">
      <c r="A2" s="68" t="s">
        <v>121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70"/>
    </row>
    <row r="3" spans="1:14" ht="22.15" customHeight="1">
      <c r="A3" s="72" t="s">
        <v>122</v>
      </c>
      <c r="B3" s="72"/>
      <c r="C3" s="72"/>
      <c r="D3" s="72"/>
      <c r="E3" s="18"/>
      <c r="F3" s="72" t="s">
        <v>123</v>
      </c>
      <c r="G3" s="72"/>
      <c r="H3" s="72"/>
      <c r="I3" s="72"/>
      <c r="J3" s="18"/>
      <c r="K3" s="72" t="s">
        <v>124</v>
      </c>
      <c r="L3" s="72"/>
      <c r="M3" s="72"/>
      <c r="N3" s="72"/>
    </row>
    <row r="4" spans="1:14" ht="20.45" customHeight="1">
      <c r="A4" s="21" t="s">
        <v>11</v>
      </c>
      <c r="B4" s="21" t="s">
        <v>12</v>
      </c>
      <c r="C4" s="21" t="s">
        <v>125</v>
      </c>
      <c r="D4" s="21" t="s">
        <v>126</v>
      </c>
      <c r="E4" s="22"/>
      <c r="F4" s="21" t="s">
        <v>11</v>
      </c>
      <c r="G4" s="21" t="s">
        <v>12</v>
      </c>
      <c r="H4" s="21" t="s">
        <v>125</v>
      </c>
      <c r="I4" s="21" t="s">
        <v>126</v>
      </c>
      <c r="J4" s="22"/>
      <c r="K4" s="21" t="s">
        <v>11</v>
      </c>
      <c r="L4" s="21" t="s">
        <v>12</v>
      </c>
      <c r="M4" s="21" t="s">
        <v>125</v>
      </c>
      <c r="N4" s="21" t="s">
        <v>126</v>
      </c>
    </row>
    <row r="5" spans="1:14" ht="19.899999999999999" customHeight="1">
      <c r="A5" s="5" t="s">
        <v>14</v>
      </c>
      <c r="B5" s="6">
        <f>+'DH Grocery Items'!L5</f>
        <v>2</v>
      </c>
      <c r="C5" s="26">
        <v>1603.1</v>
      </c>
      <c r="D5" s="23">
        <f>C5*B5</f>
        <v>3206.2</v>
      </c>
      <c r="E5" s="19"/>
      <c r="F5" s="5" t="s">
        <v>29</v>
      </c>
      <c r="G5" s="6">
        <f>+'DH Janitorial Items'!L5</f>
        <v>1</v>
      </c>
      <c r="H5" s="27">
        <v>450.13</v>
      </c>
      <c r="I5" s="23">
        <f>H5*G5</f>
        <v>450.13</v>
      </c>
      <c r="J5" s="19"/>
      <c r="K5" s="10" t="s">
        <v>61</v>
      </c>
      <c r="L5" s="6">
        <f>+'Stationery Items Stock Sheet '!L5</f>
        <v>0</v>
      </c>
      <c r="M5" s="24">
        <v>90</v>
      </c>
      <c r="N5" s="23">
        <f>M5*L5</f>
        <v>0</v>
      </c>
    </row>
    <row r="6" spans="1:14" ht="19.899999999999999" customHeight="1">
      <c r="A6" s="5" t="s">
        <v>15</v>
      </c>
      <c r="B6" s="6">
        <f>+'DH Grocery Items'!L6</f>
        <v>1</v>
      </c>
      <c r="C6" s="26">
        <v>140.35</v>
      </c>
      <c r="D6" s="23">
        <f t="shared" ref="D6:D11" si="0">C6*B6</f>
        <v>140.35</v>
      </c>
      <c r="E6" s="19"/>
      <c r="F6" s="5" t="s">
        <v>30</v>
      </c>
      <c r="G6" s="6">
        <f>+'DH Janitorial Items'!L6</f>
        <v>1</v>
      </c>
      <c r="H6" s="26">
        <v>199.5</v>
      </c>
      <c r="I6" s="23">
        <f t="shared" ref="I6:I27" si="1">H6*G6</f>
        <v>199.5</v>
      </c>
      <c r="J6" s="19"/>
      <c r="K6" s="10" t="s">
        <v>62</v>
      </c>
      <c r="L6" s="6">
        <f>+'Stationery Items Stock Sheet '!L6</f>
        <v>0</v>
      </c>
      <c r="M6" s="24">
        <v>20</v>
      </c>
      <c r="N6" s="23">
        <f t="shared" ref="N6:N56" si="2">M6*L6</f>
        <v>0</v>
      </c>
    </row>
    <row r="7" spans="1:14" ht="19.899999999999999" customHeight="1">
      <c r="A7" s="5" t="s">
        <v>16</v>
      </c>
      <c r="B7" s="6">
        <f>+'DH Grocery Items'!L7</f>
        <v>1</v>
      </c>
      <c r="C7" s="28">
        <v>1171.93</v>
      </c>
      <c r="D7" s="23">
        <f t="shared" si="0"/>
        <v>1171.93</v>
      </c>
      <c r="E7" s="19"/>
      <c r="F7" s="5" t="s">
        <v>31</v>
      </c>
      <c r="G7" s="6">
        <f>+'DH Janitorial Items'!L7</f>
        <v>0</v>
      </c>
      <c r="H7" s="26">
        <v>199.5</v>
      </c>
      <c r="I7" s="23">
        <f t="shared" si="1"/>
        <v>0</v>
      </c>
      <c r="J7" s="19"/>
      <c r="K7" s="10" t="s">
        <v>63</v>
      </c>
      <c r="L7" s="6">
        <f>+'Stationery Items Stock Sheet '!L7</f>
        <v>0</v>
      </c>
      <c r="M7" s="24">
        <v>50</v>
      </c>
      <c r="N7" s="23">
        <f t="shared" si="2"/>
        <v>0</v>
      </c>
    </row>
    <row r="8" spans="1:14" ht="19.899999999999999" customHeight="1">
      <c r="A8" s="5" t="s">
        <v>127</v>
      </c>
      <c r="B8" s="6">
        <f>+'DH Grocery Items'!L8</f>
        <v>0</v>
      </c>
      <c r="C8" s="26">
        <v>1151.8800000000001</v>
      </c>
      <c r="D8" s="23">
        <f t="shared" si="0"/>
        <v>0</v>
      </c>
      <c r="E8" s="19"/>
      <c r="F8" s="10" t="s">
        <v>32</v>
      </c>
      <c r="G8" s="6">
        <f>+'DH Janitorial Items'!L8</f>
        <v>0</v>
      </c>
      <c r="H8" s="26">
        <v>440.1</v>
      </c>
      <c r="I8" s="23">
        <f t="shared" si="1"/>
        <v>0</v>
      </c>
      <c r="J8" s="19"/>
      <c r="K8" s="10" t="s">
        <v>64</v>
      </c>
      <c r="L8" s="6">
        <f>+'Stationery Items Stock Sheet '!L8</f>
        <v>0</v>
      </c>
      <c r="M8" s="24">
        <v>12</v>
      </c>
      <c r="N8" s="23">
        <f t="shared" si="2"/>
        <v>0</v>
      </c>
    </row>
    <row r="9" spans="1:14" ht="19.899999999999999" customHeight="1">
      <c r="A9" s="5" t="s">
        <v>17</v>
      </c>
      <c r="B9" s="6">
        <f>+'DH Grocery Items'!L8</f>
        <v>0</v>
      </c>
      <c r="C9" s="26">
        <v>239.6</v>
      </c>
      <c r="D9" s="23">
        <f t="shared" si="0"/>
        <v>0</v>
      </c>
      <c r="E9" s="19"/>
      <c r="F9" s="5" t="s">
        <v>33</v>
      </c>
      <c r="G9" s="6">
        <f>+'DH Janitorial Items'!L9</f>
        <v>1</v>
      </c>
      <c r="H9" s="27">
        <v>89.22</v>
      </c>
      <c r="I9" s="23">
        <f t="shared" si="1"/>
        <v>89.22</v>
      </c>
      <c r="J9" s="19"/>
      <c r="K9" s="10" t="s">
        <v>65</v>
      </c>
      <c r="L9" s="6">
        <f>+'Stationery Items Stock Sheet '!L9</f>
        <v>0</v>
      </c>
      <c r="M9" s="24">
        <v>20</v>
      </c>
      <c r="N9" s="23">
        <f t="shared" si="2"/>
        <v>0</v>
      </c>
    </row>
    <row r="10" spans="1:14" ht="19.899999999999999" customHeight="1">
      <c r="A10" s="5" t="s">
        <v>128</v>
      </c>
      <c r="B10" s="6">
        <f>+'DH Grocery Items'!L9</f>
        <v>0</v>
      </c>
      <c r="C10" s="29">
        <v>239.6</v>
      </c>
      <c r="D10" s="23">
        <f t="shared" si="0"/>
        <v>0</v>
      </c>
      <c r="E10" s="19"/>
      <c r="F10" s="5" t="s">
        <v>34</v>
      </c>
      <c r="G10" s="6">
        <f>+'DH Janitorial Items'!L10</f>
        <v>1</v>
      </c>
      <c r="H10" s="26">
        <v>816.04</v>
      </c>
      <c r="I10" s="23">
        <f t="shared" si="1"/>
        <v>816.04</v>
      </c>
      <c r="J10" s="19"/>
      <c r="K10" s="10" t="s">
        <v>66</v>
      </c>
      <c r="L10" s="6">
        <f>+'Stationery Items Stock Sheet '!L10</f>
        <v>0</v>
      </c>
      <c r="M10" s="24">
        <v>20</v>
      </c>
      <c r="N10" s="23">
        <f t="shared" si="2"/>
        <v>0</v>
      </c>
    </row>
    <row r="11" spans="1:14" ht="19.899999999999999" customHeight="1">
      <c r="A11" s="5" t="s">
        <v>129</v>
      </c>
      <c r="B11" s="6">
        <f>+'DH Grocery Items'!L10</f>
        <v>0</v>
      </c>
      <c r="C11" s="29">
        <v>40.1</v>
      </c>
      <c r="D11" s="23">
        <f t="shared" si="0"/>
        <v>0</v>
      </c>
      <c r="E11" s="19"/>
      <c r="F11" s="5" t="s">
        <v>35</v>
      </c>
      <c r="G11" s="6">
        <f>+'DH Janitorial Items'!L11</f>
        <v>1</v>
      </c>
      <c r="H11" s="28">
        <v>128.32</v>
      </c>
      <c r="I11" s="23">
        <f t="shared" si="1"/>
        <v>128.32</v>
      </c>
      <c r="J11" s="19"/>
      <c r="K11" s="10" t="s">
        <v>67</v>
      </c>
      <c r="L11" s="6">
        <f>+'Stationery Items Stock Sheet '!L11</f>
        <v>0</v>
      </c>
      <c r="M11" s="24">
        <v>30</v>
      </c>
      <c r="N11" s="23">
        <f t="shared" si="2"/>
        <v>0</v>
      </c>
    </row>
    <row r="12" spans="1:14" ht="19.899999999999999" customHeight="1">
      <c r="A12" s="71" t="s">
        <v>130</v>
      </c>
      <c r="B12" s="71"/>
      <c r="C12" s="71"/>
      <c r="D12" s="32">
        <f>SUM(D5:D11)</f>
        <v>4518.4799999999996</v>
      </c>
      <c r="E12" s="19"/>
      <c r="F12" s="5" t="s">
        <v>36</v>
      </c>
      <c r="G12" s="6">
        <f>+'DH Janitorial Items'!L12</f>
        <v>0</v>
      </c>
      <c r="H12" s="27">
        <v>971.43</v>
      </c>
      <c r="I12" s="23">
        <f t="shared" si="1"/>
        <v>0</v>
      </c>
      <c r="J12" s="19"/>
      <c r="K12" s="10" t="s">
        <v>68</v>
      </c>
      <c r="L12" s="6">
        <f>+'Stationery Items Stock Sheet '!L12</f>
        <v>0</v>
      </c>
      <c r="M12" s="24">
        <v>12</v>
      </c>
      <c r="N12" s="23">
        <f t="shared" si="2"/>
        <v>0</v>
      </c>
    </row>
    <row r="13" spans="1:14" ht="19.899999999999999" customHeight="1">
      <c r="A13" s="19"/>
      <c r="B13" s="19"/>
      <c r="C13" s="19"/>
      <c r="D13" s="19"/>
      <c r="E13" s="19"/>
      <c r="F13" s="5" t="s">
        <v>37</v>
      </c>
      <c r="G13" s="6">
        <f>+'DH Janitorial Items'!L13</f>
        <v>0</v>
      </c>
      <c r="H13" s="26">
        <v>159.4</v>
      </c>
      <c r="I13" s="23">
        <f t="shared" si="1"/>
        <v>0</v>
      </c>
      <c r="J13" s="19"/>
      <c r="K13" s="10" t="s">
        <v>69</v>
      </c>
      <c r="L13" s="6">
        <f>+'Stationery Items Stock Sheet '!L13</f>
        <v>0</v>
      </c>
      <c r="M13" s="24">
        <v>90</v>
      </c>
      <c r="N13" s="23">
        <f t="shared" si="2"/>
        <v>0</v>
      </c>
    </row>
    <row r="14" spans="1:14" ht="19.899999999999999" customHeight="1">
      <c r="A14" s="19"/>
      <c r="B14" s="19"/>
      <c r="C14" s="19"/>
      <c r="D14" s="19"/>
      <c r="E14" s="19"/>
      <c r="F14" s="5" t="s">
        <v>38</v>
      </c>
      <c r="G14" s="6">
        <f>+'DH Janitorial Items'!L14</f>
        <v>1</v>
      </c>
      <c r="H14" s="27">
        <v>359.9</v>
      </c>
      <c r="I14" s="23">
        <f t="shared" si="1"/>
        <v>359.9</v>
      </c>
      <c r="J14" s="19"/>
      <c r="K14" s="5" t="s">
        <v>70</v>
      </c>
      <c r="L14" s="6">
        <f>+'Stationery Items Stock Sheet '!L14</f>
        <v>4</v>
      </c>
      <c r="M14" s="30">
        <v>15</v>
      </c>
      <c r="N14" s="23">
        <f t="shared" si="2"/>
        <v>60</v>
      </c>
    </row>
    <row r="15" spans="1:14" ht="19.899999999999999" customHeight="1">
      <c r="A15" s="19"/>
      <c r="B15" s="19"/>
      <c r="C15" s="19"/>
      <c r="D15" s="19"/>
      <c r="E15" s="19"/>
      <c r="F15" s="5" t="s">
        <v>40</v>
      </c>
      <c r="G15" s="6">
        <f>+'DH Janitorial Items'!L16</f>
        <v>0</v>
      </c>
      <c r="H15" s="24">
        <v>500</v>
      </c>
      <c r="I15" s="23">
        <f t="shared" si="1"/>
        <v>0</v>
      </c>
      <c r="J15" s="19"/>
      <c r="K15" s="10" t="s">
        <v>71</v>
      </c>
      <c r="L15" s="6">
        <f>+'Stationery Items Stock Sheet '!L15</f>
        <v>0</v>
      </c>
      <c r="M15" s="31">
        <v>75</v>
      </c>
      <c r="N15" s="23">
        <f t="shared" si="2"/>
        <v>0</v>
      </c>
    </row>
    <row r="16" spans="1:14" ht="19.899999999999999" customHeight="1">
      <c r="A16" s="19"/>
      <c r="B16" s="19"/>
      <c r="C16" s="19"/>
      <c r="D16" s="19"/>
      <c r="E16" s="19"/>
      <c r="F16" s="5" t="s">
        <v>41</v>
      </c>
      <c r="G16" s="6">
        <f>+'DH Janitorial Items'!L17</f>
        <v>0</v>
      </c>
      <c r="H16" s="27">
        <v>1151.8800000000001</v>
      </c>
      <c r="I16" s="23">
        <f t="shared" si="1"/>
        <v>0</v>
      </c>
      <c r="J16" s="19"/>
      <c r="K16" s="5" t="s">
        <v>72</v>
      </c>
      <c r="L16" s="6">
        <f>+'Stationery Items Stock Sheet '!L16</f>
        <v>0</v>
      </c>
      <c r="M16" s="31">
        <v>45</v>
      </c>
      <c r="N16" s="23">
        <f t="shared" si="2"/>
        <v>0</v>
      </c>
    </row>
    <row r="17" spans="1:14" ht="19.899999999999999" customHeight="1">
      <c r="A17" s="19"/>
      <c r="B17" s="19"/>
      <c r="C17" s="19"/>
      <c r="D17" s="19"/>
      <c r="E17" s="19"/>
      <c r="F17" s="5" t="s">
        <v>42</v>
      </c>
      <c r="G17" s="6">
        <f>+'DH Janitorial Items'!L18</f>
        <v>0</v>
      </c>
      <c r="H17" s="26">
        <v>891.23</v>
      </c>
      <c r="I17" s="23">
        <f t="shared" si="1"/>
        <v>0</v>
      </c>
      <c r="J17" s="19"/>
      <c r="K17" s="5" t="s">
        <v>73</v>
      </c>
      <c r="L17" s="6">
        <f>+'Stationery Items Stock Sheet '!L17</f>
        <v>0</v>
      </c>
      <c r="M17" s="31">
        <v>20</v>
      </c>
      <c r="N17" s="23">
        <f t="shared" si="2"/>
        <v>0</v>
      </c>
    </row>
    <row r="18" spans="1:14" ht="19.899999999999999" customHeight="1">
      <c r="A18" s="19"/>
      <c r="B18" s="19"/>
      <c r="C18" s="19"/>
      <c r="D18" s="19"/>
      <c r="E18" s="19"/>
      <c r="F18" s="5" t="s">
        <v>43</v>
      </c>
      <c r="G18" s="6">
        <f>+'DH Janitorial Items'!L19</f>
        <v>2</v>
      </c>
      <c r="H18" s="26">
        <v>269.67</v>
      </c>
      <c r="I18" s="23">
        <f t="shared" si="1"/>
        <v>539.34</v>
      </c>
      <c r="J18" s="19"/>
      <c r="K18" s="5" t="s">
        <v>74</v>
      </c>
      <c r="L18" s="6">
        <f>+'Stationery Items Stock Sheet '!L18</f>
        <v>0</v>
      </c>
      <c r="M18" s="31">
        <v>160</v>
      </c>
      <c r="N18" s="23">
        <f t="shared" si="2"/>
        <v>0</v>
      </c>
    </row>
    <row r="19" spans="1:14" ht="19.899999999999999" customHeight="1">
      <c r="A19" s="19"/>
      <c r="B19" s="19"/>
      <c r="C19" s="19"/>
      <c r="D19" s="19"/>
      <c r="E19" s="19"/>
      <c r="F19" s="5" t="s">
        <v>44</v>
      </c>
      <c r="G19" s="6">
        <f>+'DH Janitorial Items'!L20</f>
        <v>2</v>
      </c>
      <c r="H19" s="26">
        <v>54.14</v>
      </c>
      <c r="I19" s="23">
        <f t="shared" si="1"/>
        <v>108.28</v>
      </c>
      <c r="J19" s="19"/>
      <c r="K19" s="5" t="s">
        <v>75</v>
      </c>
      <c r="L19" s="6">
        <f>+'Stationery Items Stock Sheet '!L19</f>
        <v>0</v>
      </c>
      <c r="M19" s="24">
        <v>80</v>
      </c>
      <c r="N19" s="23">
        <f t="shared" si="2"/>
        <v>0</v>
      </c>
    </row>
    <row r="20" spans="1:14" ht="19.899999999999999" customHeight="1">
      <c r="A20" s="19"/>
      <c r="B20" s="19"/>
      <c r="C20" s="19"/>
      <c r="D20" s="19"/>
      <c r="E20" s="19"/>
      <c r="F20" s="5" t="s">
        <v>45</v>
      </c>
      <c r="G20" s="6">
        <f>+'DH Janitorial Items'!L21</f>
        <v>1</v>
      </c>
      <c r="H20" s="26">
        <v>650.63</v>
      </c>
      <c r="I20" s="23">
        <f t="shared" si="1"/>
        <v>650.63</v>
      </c>
      <c r="J20" s="19"/>
      <c r="K20" s="20" t="s">
        <v>76</v>
      </c>
      <c r="L20" s="6">
        <f>+'Stationery Items Stock Sheet '!L20</f>
        <v>8</v>
      </c>
      <c r="M20" s="31">
        <v>50</v>
      </c>
      <c r="N20" s="23">
        <f t="shared" si="2"/>
        <v>400</v>
      </c>
    </row>
    <row r="21" spans="1:14" ht="19.899999999999999" customHeight="1">
      <c r="A21" s="19"/>
      <c r="B21" s="19"/>
      <c r="C21" s="19"/>
      <c r="D21" s="19"/>
      <c r="E21" s="19"/>
      <c r="F21" s="5" t="s">
        <v>46</v>
      </c>
      <c r="G21" s="6">
        <f>+'DH Janitorial Items'!L22</f>
        <v>0</v>
      </c>
      <c r="H21" s="26">
        <v>310</v>
      </c>
      <c r="I21" s="23">
        <f t="shared" si="1"/>
        <v>0</v>
      </c>
      <c r="J21" s="19"/>
      <c r="K21" s="5" t="s">
        <v>77</v>
      </c>
      <c r="L21" s="6">
        <f>+'Stationery Items Stock Sheet '!L21</f>
        <v>0</v>
      </c>
      <c r="M21" s="24">
        <v>80</v>
      </c>
      <c r="N21" s="23">
        <f t="shared" si="2"/>
        <v>0</v>
      </c>
    </row>
    <row r="22" spans="1:14" ht="19.899999999999999" customHeight="1">
      <c r="A22" s="19"/>
      <c r="B22" s="19"/>
      <c r="C22" s="19"/>
      <c r="D22" s="19"/>
      <c r="E22" s="19"/>
      <c r="F22" s="5"/>
      <c r="G22" s="6"/>
      <c r="H22" s="27"/>
      <c r="I22" s="23">
        <f t="shared" si="1"/>
        <v>0</v>
      </c>
      <c r="J22" s="19"/>
      <c r="K22" s="10" t="s">
        <v>131</v>
      </c>
      <c r="L22" s="6">
        <f>+'Stationery Items Stock Sheet '!L22</f>
        <v>2</v>
      </c>
      <c r="M22" s="31">
        <v>350</v>
      </c>
      <c r="N22" s="23">
        <f t="shared" si="2"/>
        <v>700</v>
      </c>
    </row>
    <row r="23" spans="1:14" ht="19.899999999999999" customHeight="1">
      <c r="A23" s="19"/>
      <c r="B23" s="19"/>
      <c r="C23" s="19"/>
      <c r="D23" s="19"/>
      <c r="E23" s="19"/>
      <c r="F23" s="5" t="s">
        <v>48</v>
      </c>
      <c r="G23" s="6">
        <f>+'DH Janitorial Items'!L24</f>
        <v>1</v>
      </c>
      <c r="H23" s="26">
        <v>831.08</v>
      </c>
      <c r="I23" s="23">
        <f t="shared" si="1"/>
        <v>831.08</v>
      </c>
      <c r="J23" s="19"/>
      <c r="K23" s="5" t="s">
        <v>79</v>
      </c>
      <c r="L23" s="6">
        <f>+'Stationery Items Stock Sheet '!L23</f>
        <v>0</v>
      </c>
      <c r="M23" s="24">
        <v>1000</v>
      </c>
      <c r="N23" s="23">
        <f t="shared" si="2"/>
        <v>0</v>
      </c>
    </row>
    <row r="24" spans="1:14" ht="19.899999999999999" customHeight="1">
      <c r="A24" s="19"/>
      <c r="B24" s="19"/>
      <c r="C24" s="19"/>
      <c r="D24" s="19"/>
      <c r="E24" s="19"/>
      <c r="F24" s="5" t="s">
        <v>51</v>
      </c>
      <c r="G24" s="6">
        <f>+'DH Janitorial Items'!L27</f>
        <v>0</v>
      </c>
      <c r="H24" s="26">
        <v>109.27</v>
      </c>
      <c r="I24" s="23">
        <f t="shared" si="1"/>
        <v>0</v>
      </c>
      <c r="J24" s="19"/>
      <c r="K24" s="5" t="s">
        <v>80</v>
      </c>
      <c r="L24" s="6">
        <f>+'Stationery Items Stock Sheet '!L24</f>
        <v>0</v>
      </c>
      <c r="M24" s="24">
        <v>440</v>
      </c>
      <c r="N24" s="23">
        <f t="shared" si="2"/>
        <v>0</v>
      </c>
    </row>
    <row r="25" spans="1:14" ht="19.899999999999999" customHeight="1">
      <c r="A25" s="19"/>
      <c r="B25" s="19"/>
      <c r="C25" s="19"/>
      <c r="D25" s="19"/>
      <c r="E25" s="19"/>
      <c r="F25" s="5" t="s">
        <v>52</v>
      </c>
      <c r="G25" s="6">
        <f>+'DH Janitorial Items'!L28</f>
        <v>0</v>
      </c>
      <c r="H25" s="27">
        <v>801</v>
      </c>
      <c r="I25" s="23">
        <f t="shared" si="1"/>
        <v>0</v>
      </c>
      <c r="J25" s="19"/>
      <c r="K25" s="5" t="s">
        <v>81</v>
      </c>
      <c r="L25" s="6">
        <f>+'Stationery Items Stock Sheet '!L25</f>
        <v>0</v>
      </c>
      <c r="M25" s="24">
        <v>300</v>
      </c>
      <c r="N25" s="23">
        <f t="shared" si="2"/>
        <v>0</v>
      </c>
    </row>
    <row r="26" spans="1:14" ht="19.899999999999999" customHeight="1">
      <c r="A26" s="19"/>
      <c r="B26" s="19"/>
      <c r="C26" s="19"/>
      <c r="D26" s="19"/>
      <c r="E26" s="19"/>
      <c r="F26" s="5" t="s">
        <v>57</v>
      </c>
      <c r="G26" s="6">
        <f>+'DH Janitorial Items'!L33</f>
        <v>0</v>
      </c>
      <c r="H26" s="27">
        <v>259.64999999999998</v>
      </c>
      <c r="I26" s="23">
        <f t="shared" si="1"/>
        <v>0</v>
      </c>
      <c r="J26" s="19"/>
      <c r="K26" s="5" t="s">
        <v>82</v>
      </c>
      <c r="L26" s="6">
        <f>+'Stationery Items Stock Sheet '!L26</f>
        <v>0</v>
      </c>
      <c r="M26" s="24">
        <v>15</v>
      </c>
      <c r="N26" s="23">
        <f t="shared" si="2"/>
        <v>0</v>
      </c>
    </row>
    <row r="27" spans="1:14" ht="19.899999999999999" customHeight="1">
      <c r="A27" s="19"/>
      <c r="B27" s="19"/>
      <c r="C27" s="19"/>
      <c r="D27" s="19"/>
      <c r="E27" s="19"/>
      <c r="F27" s="5" t="s">
        <v>58</v>
      </c>
      <c r="G27" s="6">
        <f>+'DH Janitorial Items'!L34</f>
        <v>0</v>
      </c>
      <c r="H27" s="27">
        <v>460.15</v>
      </c>
      <c r="I27" s="23">
        <f t="shared" si="1"/>
        <v>0</v>
      </c>
      <c r="J27" s="19"/>
      <c r="K27" s="10" t="s">
        <v>83</v>
      </c>
      <c r="L27" s="6">
        <f>+'Stationery Items Stock Sheet '!L27</f>
        <v>0</v>
      </c>
      <c r="M27" s="24">
        <v>20</v>
      </c>
      <c r="N27" s="23">
        <f t="shared" si="2"/>
        <v>0</v>
      </c>
    </row>
    <row r="28" spans="1:14" ht="19.899999999999999" customHeight="1">
      <c r="A28" s="19"/>
      <c r="B28" s="19"/>
      <c r="C28" s="19"/>
      <c r="D28" s="19"/>
      <c r="E28" s="19"/>
      <c r="F28" s="71" t="s">
        <v>132</v>
      </c>
      <c r="G28" s="71"/>
      <c r="H28" s="71"/>
      <c r="I28" s="32">
        <f>SUM(I5:I27)</f>
        <v>4172.4400000000005</v>
      </c>
      <c r="J28" s="19"/>
      <c r="K28" s="5" t="s">
        <v>133</v>
      </c>
      <c r="L28" s="6">
        <f>+'Stationery Items Stock Sheet '!L28</f>
        <v>0</v>
      </c>
      <c r="M28" s="24">
        <v>90</v>
      </c>
      <c r="N28" s="23">
        <f t="shared" si="2"/>
        <v>0</v>
      </c>
    </row>
    <row r="29" spans="1:14" ht="19.899999999999999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5" t="s">
        <v>134</v>
      </c>
      <c r="L29" s="6">
        <f>+'Stationery Items Stock Sheet '!L29</f>
        <v>0</v>
      </c>
      <c r="M29" s="24">
        <v>90</v>
      </c>
      <c r="N29" s="23">
        <f t="shared" si="2"/>
        <v>0</v>
      </c>
    </row>
    <row r="30" spans="1:14" ht="19.899999999999999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5" t="s">
        <v>84</v>
      </c>
      <c r="L30" s="6">
        <f>+'Stationery Items Stock Sheet '!L31</f>
        <v>0</v>
      </c>
      <c r="M30" s="24">
        <v>150</v>
      </c>
      <c r="N30" s="23">
        <f t="shared" si="2"/>
        <v>0</v>
      </c>
    </row>
    <row r="31" spans="1:14" ht="19.899999999999999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0" t="s">
        <v>85</v>
      </c>
      <c r="L31" s="6">
        <f>+'Stationery Items Stock Sheet '!L32</f>
        <v>0</v>
      </c>
      <c r="M31" s="24">
        <v>50</v>
      </c>
      <c r="N31" s="23">
        <f t="shared" si="2"/>
        <v>0</v>
      </c>
    </row>
    <row r="32" spans="1:14" ht="19.899999999999999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0" t="s">
        <v>86</v>
      </c>
      <c r="L32" s="6">
        <f>+'Stationery Items Stock Sheet '!L33</f>
        <v>0</v>
      </c>
      <c r="M32" s="24">
        <v>50</v>
      </c>
      <c r="N32" s="23">
        <f t="shared" si="2"/>
        <v>0</v>
      </c>
    </row>
    <row r="33" spans="1:14" ht="19.899999999999999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5" t="s">
        <v>87</v>
      </c>
      <c r="L33" s="6">
        <f>+'Stationery Items Stock Sheet '!L34</f>
        <v>0</v>
      </c>
      <c r="M33" s="24">
        <v>18</v>
      </c>
      <c r="N33" s="23">
        <f t="shared" si="2"/>
        <v>0</v>
      </c>
    </row>
    <row r="34" spans="1:14" ht="19.899999999999999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5" t="s">
        <v>88</v>
      </c>
      <c r="L34" s="6">
        <f>+'Stationery Items Stock Sheet '!L34</f>
        <v>0</v>
      </c>
      <c r="M34" s="24">
        <v>480</v>
      </c>
      <c r="N34" s="23">
        <f t="shared" si="2"/>
        <v>0</v>
      </c>
    </row>
    <row r="35" spans="1:14" ht="19.899999999999999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5" t="s">
        <v>89</v>
      </c>
      <c r="L35" s="6">
        <f>+'Stationery Items Stock Sheet '!L35</f>
        <v>0</v>
      </c>
      <c r="M35" s="24">
        <v>480</v>
      </c>
      <c r="N35" s="23">
        <f t="shared" si="2"/>
        <v>0</v>
      </c>
    </row>
    <row r="36" spans="1:14" ht="19.899999999999999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0" t="s">
        <v>90</v>
      </c>
      <c r="L36" s="6">
        <f>+'Stationery Items Stock Sheet '!L37</f>
        <v>0</v>
      </c>
      <c r="M36" s="31">
        <v>75</v>
      </c>
      <c r="N36" s="23">
        <f t="shared" si="2"/>
        <v>0</v>
      </c>
    </row>
    <row r="37" spans="1:14" ht="19.899999999999999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0" t="s">
        <v>91</v>
      </c>
      <c r="L37" s="6">
        <f>+'Stationery Items Stock Sheet '!L38</f>
        <v>0</v>
      </c>
      <c r="M37" s="31">
        <v>150</v>
      </c>
      <c r="N37" s="23">
        <f t="shared" si="2"/>
        <v>0</v>
      </c>
    </row>
    <row r="38" spans="1:14" ht="19.899999999999999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0" t="s">
        <v>92</v>
      </c>
      <c r="L38" s="6">
        <f>+'Stationery Items Stock Sheet '!L38</f>
        <v>0</v>
      </c>
      <c r="M38" s="24">
        <v>250</v>
      </c>
      <c r="N38" s="23">
        <f t="shared" si="2"/>
        <v>0</v>
      </c>
    </row>
    <row r="39" spans="1:14" ht="19.899999999999999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0" t="s">
        <v>93</v>
      </c>
      <c r="L39" s="6">
        <f>+'Stationery Items Stock Sheet '!L39</f>
        <v>0</v>
      </c>
      <c r="M39" s="24">
        <v>350</v>
      </c>
      <c r="N39" s="23">
        <f t="shared" si="2"/>
        <v>0</v>
      </c>
    </row>
    <row r="40" spans="1:14" ht="19.899999999999999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5" t="s">
        <v>135</v>
      </c>
      <c r="L40" s="6">
        <f>+'Stationery Items Stock Sheet '!L40</f>
        <v>2</v>
      </c>
      <c r="M40" s="24">
        <v>300</v>
      </c>
      <c r="N40" s="23">
        <f t="shared" si="2"/>
        <v>600</v>
      </c>
    </row>
    <row r="41" spans="1:14" ht="19.899999999999999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5" t="s">
        <v>94</v>
      </c>
      <c r="L41" s="6">
        <f>+'Stationery Items Stock Sheet '!L41</f>
        <v>0</v>
      </c>
      <c r="M41" s="24">
        <v>50</v>
      </c>
      <c r="N41" s="23">
        <f t="shared" si="2"/>
        <v>0</v>
      </c>
    </row>
    <row r="42" spans="1:14" ht="19.899999999999999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5" t="s">
        <v>95</v>
      </c>
      <c r="L42" s="6">
        <f>+'Stationery Items Stock Sheet '!L42</f>
        <v>8</v>
      </c>
      <c r="M42" s="24">
        <v>70</v>
      </c>
      <c r="N42" s="23">
        <f t="shared" si="2"/>
        <v>560</v>
      </c>
    </row>
    <row r="43" spans="1:14" ht="19.899999999999999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0" t="s">
        <v>96</v>
      </c>
      <c r="L43" s="6">
        <f>+'Stationery Items Stock Sheet '!L43</f>
        <v>0</v>
      </c>
      <c r="M43" s="24">
        <v>1450</v>
      </c>
      <c r="N43" s="23">
        <f t="shared" si="2"/>
        <v>0</v>
      </c>
    </row>
    <row r="44" spans="1:14" ht="19.899999999999999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20" t="s">
        <v>97</v>
      </c>
      <c r="L44" s="6">
        <f>+'Stationery Items Stock Sheet '!L44</f>
        <v>0</v>
      </c>
      <c r="M44" s="24">
        <v>200</v>
      </c>
      <c r="N44" s="23">
        <f t="shared" si="2"/>
        <v>0</v>
      </c>
    </row>
    <row r="45" spans="1:14" ht="19.899999999999999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20" t="s">
        <v>98</v>
      </c>
      <c r="L45" s="6">
        <f>+'Stationery Items Stock Sheet '!L45</f>
        <v>0</v>
      </c>
      <c r="M45" s="24">
        <v>60</v>
      </c>
      <c r="N45" s="23">
        <f t="shared" si="2"/>
        <v>0</v>
      </c>
    </row>
    <row r="46" spans="1:14" ht="19.899999999999999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5" t="s">
        <v>99</v>
      </c>
      <c r="L46" s="6">
        <f>+'Stationery Items Stock Sheet '!L46</f>
        <v>0</v>
      </c>
      <c r="M46" s="24">
        <v>350</v>
      </c>
      <c r="N46" s="23">
        <f t="shared" si="2"/>
        <v>0</v>
      </c>
    </row>
    <row r="47" spans="1:14" ht="19.899999999999999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5" t="s">
        <v>100</v>
      </c>
      <c r="L47" s="6">
        <f>+'Stationery Items Stock Sheet '!L47</f>
        <v>0</v>
      </c>
      <c r="M47" s="24">
        <v>480</v>
      </c>
      <c r="N47" s="23">
        <f t="shared" si="2"/>
        <v>0</v>
      </c>
    </row>
    <row r="48" spans="1:14" ht="19.899999999999999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5" t="s">
        <v>101</v>
      </c>
      <c r="L48" s="6">
        <f>+'Stationery Items Stock Sheet '!L48</f>
        <v>1</v>
      </c>
      <c r="M48" s="24">
        <v>80</v>
      </c>
      <c r="N48" s="23">
        <f t="shared" si="2"/>
        <v>80</v>
      </c>
    </row>
    <row r="49" spans="1:14" ht="19.899999999999999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5" t="s">
        <v>102</v>
      </c>
      <c r="L49" s="6">
        <f>+'Stationery Items Stock Sheet '!L49</f>
        <v>0</v>
      </c>
      <c r="M49" s="24">
        <v>90</v>
      </c>
      <c r="N49" s="23">
        <f t="shared" si="2"/>
        <v>0</v>
      </c>
    </row>
    <row r="50" spans="1:14" ht="19.899999999999999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5" t="s">
        <v>103</v>
      </c>
      <c r="L50" s="6">
        <f>+'Stationery Items Stock Sheet '!L50</f>
        <v>0</v>
      </c>
      <c r="M50" s="24">
        <v>60</v>
      </c>
      <c r="N50" s="23">
        <f t="shared" si="2"/>
        <v>0</v>
      </c>
    </row>
    <row r="51" spans="1:14" ht="19.899999999999999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0" t="s">
        <v>104</v>
      </c>
      <c r="L51" s="6">
        <f>+'Stationery Items Stock Sheet '!L51</f>
        <v>2</v>
      </c>
      <c r="M51" s="24">
        <v>75</v>
      </c>
      <c r="N51" s="23">
        <f t="shared" si="2"/>
        <v>150</v>
      </c>
    </row>
    <row r="52" spans="1:14" ht="19.899999999999999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0" t="s">
        <v>105</v>
      </c>
      <c r="L52" s="6">
        <f>+'Stationery Items Stock Sheet '!L52</f>
        <v>0</v>
      </c>
      <c r="M52" s="24">
        <v>145</v>
      </c>
      <c r="N52" s="23">
        <f t="shared" si="2"/>
        <v>0</v>
      </c>
    </row>
    <row r="53" spans="1:14" ht="19.899999999999999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0" t="s">
        <v>106</v>
      </c>
      <c r="L53" s="6">
        <f>+'Stationery Items Stock Sheet '!L53</f>
        <v>0</v>
      </c>
      <c r="M53" s="24">
        <v>90</v>
      </c>
      <c r="N53" s="23">
        <f t="shared" si="2"/>
        <v>0</v>
      </c>
    </row>
    <row r="54" spans="1:14" ht="19.899999999999999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5" t="s">
        <v>107</v>
      </c>
      <c r="L54" s="6">
        <f>+'Stationery Items Stock Sheet '!L54</f>
        <v>0</v>
      </c>
      <c r="M54" s="24">
        <v>120</v>
      </c>
      <c r="N54" s="23">
        <f t="shared" si="2"/>
        <v>0</v>
      </c>
    </row>
    <row r="55" spans="1:14" ht="19.899999999999999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5" t="s">
        <v>108</v>
      </c>
      <c r="L55" s="6">
        <f>+'Stationery Items Stock Sheet '!L55</f>
        <v>0</v>
      </c>
      <c r="M55" s="24">
        <v>15</v>
      </c>
      <c r="N55" s="23">
        <f t="shared" si="2"/>
        <v>0</v>
      </c>
    </row>
    <row r="56" spans="1:14" ht="19.899999999999999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5" t="s">
        <v>109</v>
      </c>
      <c r="L56" s="6">
        <f>+'Stationery Items Stock Sheet '!L54</f>
        <v>0</v>
      </c>
      <c r="M56" s="24">
        <v>50</v>
      </c>
      <c r="N56" s="23">
        <f t="shared" si="2"/>
        <v>0</v>
      </c>
    </row>
    <row r="57" spans="1:14" ht="19.899999999999999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5" t="s">
        <v>136</v>
      </c>
      <c r="L57" s="6">
        <f>+'Stationery Items Stock Sheet '!L55</f>
        <v>0</v>
      </c>
      <c r="M57" s="24">
        <v>50</v>
      </c>
      <c r="N57" s="23">
        <f t="shared" ref="N57:N69" si="3">M57*L57</f>
        <v>0</v>
      </c>
    </row>
    <row r="58" spans="1:14" ht="19.899999999999999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5" t="s">
        <v>137</v>
      </c>
      <c r="L58" s="6">
        <f>+'Stationery Items Stock Sheet '!L56</f>
        <v>0</v>
      </c>
      <c r="M58" s="24">
        <v>1250</v>
      </c>
      <c r="N58" s="23">
        <f t="shared" si="3"/>
        <v>0</v>
      </c>
    </row>
    <row r="59" spans="1:14" ht="19.899999999999999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5" t="s">
        <v>110</v>
      </c>
      <c r="L59" s="6">
        <f>+'Stationery Items Stock Sheet '!L57</f>
        <v>0</v>
      </c>
      <c r="M59" s="24">
        <v>370</v>
      </c>
      <c r="N59" s="23">
        <f t="shared" si="3"/>
        <v>0</v>
      </c>
    </row>
    <row r="60" spans="1:14" ht="19.899999999999999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5" t="s">
        <v>111</v>
      </c>
      <c r="L60" s="6">
        <f>+'Stationery Items Stock Sheet '!L58</f>
        <v>0</v>
      </c>
      <c r="M60" s="24">
        <v>60</v>
      </c>
      <c r="N60" s="23">
        <f t="shared" si="3"/>
        <v>0</v>
      </c>
    </row>
    <row r="61" spans="1:14" ht="19.899999999999999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5" t="s">
        <v>112</v>
      </c>
      <c r="L61" s="6">
        <f>+'Stationery Items Stock Sheet '!L59</f>
        <v>0</v>
      </c>
      <c r="M61" s="24">
        <v>380</v>
      </c>
      <c r="N61" s="23">
        <f t="shared" si="3"/>
        <v>0</v>
      </c>
    </row>
    <row r="62" spans="1:14" ht="19.899999999999999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5" t="s">
        <v>113</v>
      </c>
      <c r="L62" s="6">
        <f>+'Stationery Items Stock Sheet '!L60</f>
        <v>0</v>
      </c>
      <c r="M62" s="24">
        <v>80</v>
      </c>
      <c r="N62" s="23">
        <f t="shared" si="3"/>
        <v>0</v>
      </c>
    </row>
    <row r="63" spans="1:14" ht="19.899999999999999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0" t="s">
        <v>114</v>
      </c>
      <c r="L63" s="6">
        <f>+'Stationery Items Stock Sheet '!L61</f>
        <v>0</v>
      </c>
      <c r="M63" s="24">
        <v>100</v>
      </c>
      <c r="N63" s="23">
        <f t="shared" si="3"/>
        <v>0</v>
      </c>
    </row>
    <row r="64" spans="1:14" ht="19.899999999999999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5" t="s">
        <v>115</v>
      </c>
      <c r="L64" s="6">
        <f>+'Stationery Items Stock Sheet '!L62</f>
        <v>0</v>
      </c>
      <c r="M64" s="24">
        <v>50</v>
      </c>
      <c r="N64" s="23">
        <f t="shared" si="3"/>
        <v>0</v>
      </c>
    </row>
    <row r="65" spans="1:14" ht="19.899999999999999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5" t="s">
        <v>116</v>
      </c>
      <c r="L65" s="6">
        <f>+'Stationery Items Stock Sheet '!L62</f>
        <v>0</v>
      </c>
      <c r="M65" s="31">
        <v>200</v>
      </c>
      <c r="N65" s="23">
        <f t="shared" si="3"/>
        <v>0</v>
      </c>
    </row>
    <row r="66" spans="1:14" ht="19.899999999999999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0" t="s">
        <v>117</v>
      </c>
      <c r="L66" s="6">
        <f>+'Stationery Items Stock Sheet '!L63</f>
        <v>2</v>
      </c>
      <c r="M66" s="31">
        <v>130</v>
      </c>
      <c r="N66" s="23">
        <f t="shared" si="3"/>
        <v>260</v>
      </c>
    </row>
    <row r="67" spans="1:14" ht="19.899999999999999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5" t="s">
        <v>138</v>
      </c>
      <c r="L67" s="6">
        <f>+'Stationery Items Stock Sheet '!L64</f>
        <v>0</v>
      </c>
      <c r="M67" s="24">
        <v>400</v>
      </c>
      <c r="N67" s="23">
        <f t="shared" si="3"/>
        <v>0</v>
      </c>
    </row>
    <row r="68" spans="1:14" ht="19.899999999999999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5" t="s">
        <v>118</v>
      </c>
      <c r="L68" s="6">
        <f>+'Stationery Items Stock Sheet '!L65</f>
        <v>0</v>
      </c>
      <c r="M68" s="31">
        <v>50</v>
      </c>
      <c r="N68" s="23">
        <f t="shared" si="3"/>
        <v>0</v>
      </c>
    </row>
    <row r="69" spans="1:14" ht="19.899999999999999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5" t="s">
        <v>119</v>
      </c>
      <c r="L69" s="6">
        <f>+'Stationery Items Stock Sheet '!L66</f>
        <v>0</v>
      </c>
      <c r="M69" s="24">
        <v>60</v>
      </c>
      <c r="N69" s="23">
        <f t="shared" si="3"/>
        <v>0</v>
      </c>
    </row>
    <row r="70" spans="1:14" ht="22.15" customHeight="1">
      <c r="K70" s="71" t="s">
        <v>132</v>
      </c>
      <c r="L70" s="71"/>
      <c r="M70" s="71"/>
      <c r="N70" s="33">
        <f>SUM(N5:N69)</f>
        <v>2810</v>
      </c>
    </row>
  </sheetData>
  <mergeCells count="8">
    <mergeCell ref="A1:N1"/>
    <mergeCell ref="A2:N2"/>
    <mergeCell ref="A12:C12"/>
    <mergeCell ref="F28:H28"/>
    <mergeCell ref="K70:M70"/>
    <mergeCell ref="F3:I3"/>
    <mergeCell ref="A3:D3"/>
    <mergeCell ref="K3:N3"/>
  </mergeCells>
  <conditionalFormatting sqref="A5:A11">
    <cfRule type="duplicateValues" dxfId="6" priority="8"/>
  </conditionalFormatting>
  <conditionalFormatting sqref="F5">
    <cfRule type="duplicateValues" dxfId="5" priority="5"/>
  </conditionalFormatting>
  <conditionalFormatting sqref="F6:F7 F9:F27">
    <cfRule type="duplicateValues" dxfId="4" priority="155"/>
  </conditionalFormatting>
  <conditionalFormatting sqref="F10">
    <cfRule type="duplicateValues" dxfId="3" priority="6"/>
  </conditionalFormatting>
  <conditionalFormatting sqref="K28:K29 K26 K23">
    <cfRule type="duplicateValues" dxfId="2" priority="3"/>
  </conditionalFormatting>
  <conditionalFormatting sqref="K33">
    <cfRule type="duplicateValues" dxfId="1" priority="1"/>
  </conditionalFormatting>
  <conditionalFormatting sqref="K60:K69 K35:K37 K58 K43:K45 K47:K56">
    <cfRule type="duplicateValues" dxfId="0" priority="4"/>
  </conditionalFormatting>
  <dataValidations count="3">
    <dataValidation type="list" allowBlank="1" showInputMessage="1" showErrorMessage="1" sqref="A5:A11" xr:uid="{E990F709-E589-474E-970E-659E33B171B4}">
      <formula1>$B$5:$B$11</formula1>
    </dataValidation>
    <dataValidation type="list" allowBlank="1" showInputMessage="1" showErrorMessage="1" sqref="F5:F27" xr:uid="{4031BFB1-AE68-4DBA-90B8-46C4D01ED6C8}">
      <formula1>$B$5:$B$27</formula1>
    </dataValidation>
    <dataValidation type="list" allowBlank="1" showInputMessage="1" showErrorMessage="1" sqref="K5:K69" xr:uid="{55B47101-5ECF-45CF-A39C-0DBF0064D02E}">
      <formula1>$B$5:$B$69</formula1>
    </dataValidation>
  </dataValidations>
  <pageMargins left="3.937007874015748E-2" right="3.937007874015748E-2" top="0.15748031496062992" bottom="0.15748031496062992" header="0.31496062992125984" footer="0.31496062992125984"/>
  <pageSetup paperSize="9" scale="64" orientation="landscape" r:id="rId1"/>
  <rowBreaks count="1" manualBreakCount="1">
    <brk id="2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Kamran Shahzad</dc:creator>
  <cp:keywords/>
  <dc:description/>
  <cp:lastModifiedBy/>
  <cp:revision/>
  <dcterms:created xsi:type="dcterms:W3CDTF">2015-06-05T18:17:20Z</dcterms:created>
  <dcterms:modified xsi:type="dcterms:W3CDTF">2026-05-06T12:21:36Z</dcterms:modified>
  <cp:category/>
  <cp:contentStatus/>
</cp:coreProperties>
</file>