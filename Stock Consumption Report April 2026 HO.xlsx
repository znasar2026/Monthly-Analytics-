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1FA9B8E-E879-4FA8-AF3D-1EE63DC18553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Grocery Items" sheetId="4" r:id="rId1"/>
    <sheet name="Janitorial Items" sheetId="3" r:id="rId2"/>
    <sheet name="Stationery Items Stock Sheet " sheetId="2" r:id="rId3"/>
    <sheet name="Monthly Cost Breakup" sheetId="5" r:id="rId4"/>
  </sheets>
  <definedNames>
    <definedName name="_xlnm.Print_Area" localSheetId="1">'Janitorial Items'!$C$1:$O$48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5" l="1"/>
  <c r="G11" i="5"/>
  <c r="G11" i="3"/>
  <c r="G36" i="3"/>
  <c r="F100" i="2"/>
  <c r="E18" i="3"/>
  <c r="L12" i="5"/>
  <c r="N25" i="5"/>
  <c r="N24" i="5"/>
  <c r="L66" i="5"/>
  <c r="N66" i="5" s="1"/>
  <c r="L35" i="5"/>
  <c r="N35" i="5" s="1"/>
  <c r="L34" i="5"/>
  <c r="N34" i="5" s="1"/>
  <c r="N33" i="5"/>
  <c r="L32" i="5"/>
  <c r="N32" i="5" s="1"/>
  <c r="L31" i="5"/>
  <c r="N31" i="5" s="1"/>
  <c r="L30" i="5"/>
  <c r="N30" i="5" s="1"/>
  <c r="L29" i="5"/>
  <c r="N29" i="5" s="1"/>
  <c r="L28" i="5"/>
  <c r="N28" i="5" s="1"/>
  <c r="L27" i="5"/>
  <c r="N27" i="5" s="1"/>
  <c r="L26" i="5"/>
  <c r="N26" i="5" s="1"/>
  <c r="N23" i="5"/>
  <c r="N11" i="5"/>
  <c r="B5" i="5"/>
  <c r="L85" i="5"/>
  <c r="L86" i="5"/>
  <c r="L87" i="5"/>
  <c r="L88" i="5"/>
  <c r="L89" i="5"/>
  <c r="L90" i="5"/>
  <c r="L53" i="5"/>
  <c r="N53" i="5" s="1"/>
  <c r="L54" i="5"/>
  <c r="N54" i="5" s="1"/>
  <c r="L55" i="5"/>
  <c r="N55" i="5" s="1"/>
  <c r="L56" i="5"/>
  <c r="L57" i="5"/>
  <c r="L58" i="5"/>
  <c r="L61" i="5"/>
  <c r="L62" i="5"/>
  <c r="L63" i="5"/>
  <c r="L64" i="5"/>
  <c r="L65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52" i="5"/>
  <c r="N52" i="5" s="1"/>
  <c r="L51" i="5"/>
  <c r="N51" i="5" s="1"/>
  <c r="L50" i="5"/>
  <c r="N50" i="5" s="1"/>
  <c r="L49" i="5"/>
  <c r="N49" i="5" s="1"/>
  <c r="L48" i="5"/>
  <c r="N48" i="5" s="1"/>
  <c r="L47" i="5"/>
  <c r="N47" i="5" s="1"/>
  <c r="L46" i="5"/>
  <c r="N46" i="5" s="1"/>
  <c r="E10" i="4" l="1"/>
  <c r="E83" i="2" l="1"/>
  <c r="E75" i="2"/>
  <c r="E7" i="3" l="1"/>
  <c r="G5" i="3"/>
  <c r="E5" i="4"/>
  <c r="E8" i="4"/>
  <c r="E57" i="2"/>
  <c r="E11" i="2"/>
  <c r="C34" i="3"/>
  <c r="C29" i="3"/>
  <c r="E29" i="3" s="1"/>
  <c r="C26" i="3"/>
  <c r="E26" i="3" s="1"/>
  <c r="C23" i="3"/>
  <c r="E23" i="3" s="1"/>
  <c r="E16" i="3"/>
  <c r="C13" i="3"/>
  <c r="E13" i="3" s="1"/>
  <c r="C12" i="3"/>
  <c r="E12" i="3" s="1"/>
  <c r="C6" i="3"/>
  <c r="E6" i="3" s="1"/>
  <c r="G6" i="3" s="1"/>
  <c r="E9" i="4"/>
  <c r="E6" i="4"/>
  <c r="C69" i="2"/>
  <c r="C61" i="2"/>
  <c r="C27" i="2"/>
  <c r="C73" i="2"/>
  <c r="C72" i="2"/>
  <c r="C58" i="2"/>
  <c r="C46" i="2"/>
  <c r="C25" i="2"/>
  <c r="C19" i="2"/>
  <c r="C13" i="2"/>
  <c r="C10" i="2"/>
  <c r="C9" i="2"/>
  <c r="C8" i="2"/>
  <c r="L7" i="5"/>
  <c r="N7" i="5" s="1"/>
  <c r="N9" i="5"/>
  <c r="N12" i="5"/>
  <c r="L13" i="5"/>
  <c r="N13" i="5" s="1"/>
  <c r="L14" i="5"/>
  <c r="N14" i="5" s="1"/>
  <c r="L15" i="5"/>
  <c r="N15" i="5" s="1"/>
  <c r="L16" i="5"/>
  <c r="N16" i="5" s="1"/>
  <c r="L17" i="5"/>
  <c r="N17" i="5" s="1"/>
  <c r="L18" i="5"/>
  <c r="N18" i="5" s="1"/>
  <c r="L19" i="5"/>
  <c r="N19" i="5" s="1"/>
  <c r="L20" i="5"/>
  <c r="N20" i="5" s="1"/>
  <c r="L21" i="5"/>
  <c r="N21" i="5" s="1"/>
  <c r="L22" i="5"/>
  <c r="N22" i="5" s="1"/>
  <c r="N56" i="5"/>
  <c r="N57" i="5"/>
  <c r="N58" i="5"/>
  <c r="N59" i="5"/>
  <c r="N60" i="5"/>
  <c r="N61" i="5"/>
  <c r="N62" i="5"/>
  <c r="N64" i="5"/>
  <c r="N65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L6" i="5"/>
  <c r="N6" i="5" s="1"/>
  <c r="N5" i="5"/>
  <c r="N63" i="5"/>
  <c r="G6" i="5"/>
  <c r="I6" i="5" s="1"/>
  <c r="G7" i="5"/>
  <c r="I7" i="5" s="1"/>
  <c r="G9" i="5"/>
  <c r="I9" i="5" s="1"/>
  <c r="I11" i="5"/>
  <c r="G12" i="5"/>
  <c r="I12" i="5" s="1"/>
  <c r="I13" i="5"/>
  <c r="G14" i="5"/>
  <c r="I14" i="5" s="1"/>
  <c r="G15" i="5"/>
  <c r="I15" i="5" s="1"/>
  <c r="G16" i="5"/>
  <c r="I16" i="5" s="1"/>
  <c r="G17" i="5"/>
  <c r="I17" i="5" s="1"/>
  <c r="G18" i="5"/>
  <c r="I18" i="5" s="1"/>
  <c r="G19" i="5"/>
  <c r="I19" i="5" s="1"/>
  <c r="G20" i="5"/>
  <c r="I20" i="5" s="1"/>
  <c r="G21" i="5"/>
  <c r="I21" i="5" s="1"/>
  <c r="G22" i="5"/>
  <c r="I22" i="5" s="1"/>
  <c r="G23" i="5"/>
  <c r="I23" i="5" s="1"/>
  <c r="G24" i="5"/>
  <c r="I24" i="5" s="1"/>
  <c r="G26" i="5"/>
  <c r="I26" i="5" s="1"/>
  <c r="G27" i="5"/>
  <c r="I27" i="5" s="1"/>
  <c r="G28" i="5"/>
  <c r="I28" i="5" s="1"/>
  <c r="I29" i="5"/>
  <c r="G30" i="5"/>
  <c r="I30" i="5" s="1"/>
  <c r="G31" i="5"/>
  <c r="I31" i="5" s="1"/>
  <c r="G34" i="5"/>
  <c r="I34" i="5" s="1"/>
  <c r="G35" i="5"/>
  <c r="I35" i="5" s="1"/>
  <c r="G39" i="5"/>
  <c r="I39" i="5" s="1"/>
  <c r="G5" i="5"/>
  <c r="I5" i="5" s="1"/>
  <c r="B6" i="5"/>
  <c r="D6" i="5" s="1"/>
  <c r="B7" i="5"/>
  <c r="D7" i="5" s="1"/>
  <c r="B9" i="5"/>
  <c r="D9" i="5" s="1"/>
  <c r="B11" i="5"/>
  <c r="B12" i="5"/>
  <c r="D12" i="5" s="1"/>
  <c r="D5" i="5"/>
  <c r="D13" i="5" l="1"/>
  <c r="N91" i="5"/>
  <c r="E7" i="4"/>
  <c r="I40" i="5"/>
  <c r="G39" i="3"/>
  <c r="G35" i="3"/>
  <c r="G34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0" i="3"/>
  <c r="G9" i="3"/>
  <c r="G8" i="3"/>
  <c r="G7" i="3"/>
  <c r="E59" i="2" l="1"/>
  <c r="E43" i="2"/>
  <c r="E37" i="2"/>
  <c r="E35" i="2"/>
  <c r="E28" i="2"/>
  <c r="E21" i="2"/>
  <c r="E15" i="2"/>
  <c r="E14" i="2"/>
  <c r="E10" i="2"/>
  <c r="E7" i="2"/>
  <c r="E51" i="2" l="1"/>
  <c r="E60" i="2"/>
  <c r="E68" i="2"/>
  <c r="E74" i="2"/>
  <c r="E8" i="2"/>
  <c r="E36" i="2"/>
  <c r="E61" i="2"/>
  <c r="E9" i="2"/>
  <c r="E18" i="2"/>
  <c r="E25" i="2"/>
  <c r="E46" i="2"/>
  <c r="E12" i="2"/>
  <c r="E13" i="2"/>
  <c r="E72" i="2"/>
  <c r="E82" i="2"/>
  <c r="E52" i="2"/>
  <c r="E76" i="2"/>
  <c r="E45" i="2"/>
  <c r="E62" i="2"/>
  <c r="E69" i="2"/>
  <c r="E77" i="2"/>
  <c r="E27" i="2"/>
  <c r="E47" i="2"/>
  <c r="E79" i="2"/>
  <c r="E31" i="2"/>
  <c r="E19" i="2"/>
  <c r="E26" i="2"/>
  <c r="E33" i="2"/>
  <c r="E38" i="2"/>
  <c r="E54" i="2"/>
  <c r="E63" i="2"/>
  <c r="E70" i="2"/>
  <c r="E78" i="2"/>
  <c r="E44" i="2"/>
  <c r="E20" i="2"/>
  <c r="E34" i="2"/>
  <c r="E39" i="2"/>
  <c r="E55" i="2"/>
  <c r="E64" i="2"/>
  <c r="E71" i="2"/>
  <c r="E32" i="2"/>
  <c r="E40" i="2"/>
  <c r="E48" i="2"/>
  <c r="E56" i="2"/>
  <c r="E65" i="2"/>
  <c r="E80" i="2"/>
  <c r="E22" i="2"/>
  <c r="E29" i="2"/>
  <c r="E41" i="2"/>
  <c r="E49" i="2"/>
  <c r="E58" i="2"/>
  <c r="E66" i="2"/>
  <c r="E17" i="2"/>
  <c r="E23" i="2"/>
  <c r="E30" i="2"/>
  <c r="E42" i="2"/>
  <c r="E67" i="2"/>
  <c r="E73" i="2"/>
  <c r="E24" i="2"/>
  <c r="E6" i="2" l="1"/>
  <c r="E53" i="2"/>
  <c r="E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Mujahid Abdullah</author>
    <author>tc={0B8D0B52-35E1-49C9-A94D-5F66A4160D69}</author>
  </authors>
  <commentList>
    <comment ref="A6" authorId="0" shapeId="0" xr:uid="{3E12D1DE-D0B2-420A-9084-5FA79787D782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7" authorId="0" shapeId="0" xr:uid="{E33CEF77-6A2D-4EB7-97D6-DE4011500960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8" authorId="0" shapeId="0" xr:uid="{E49B66CC-CFDA-4ADE-91CD-CB6A358F7F35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9" authorId="0" shapeId="0" xr:uid="{94367746-721D-4C65-A6A9-0B1A935FA164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B9" authorId="1" shapeId="0" xr:uid="{0B8D0B52-35E1-49C9-A94D-5F66A4160D69}">
      <text>
        <t>[Threaded comment]
Your version of Excel allows you to read this threaded comment; however, any edits to it will get removed if the file is opened in a newer version of Excel. Learn more: https://go.microsoft.com/fwlink/?linkid=870924
Comment:
    Letter size</t>
      </text>
    </comment>
    <comment ref="A10" authorId="0" shapeId="0" xr:uid="{0F493B12-97DC-4B46-9EB1-6F8D6E7EF776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12" authorId="0" shapeId="0" xr:uid="{6FF728A0-CB07-4B21-80DA-2F1887682F93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13" authorId="0" shapeId="0" xr:uid="{3B382BB4-5576-4564-A6BA-536AAB5FD1CB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14" authorId="0" shapeId="0" xr:uid="{43037117-163F-4098-A957-38249CAF7AB1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20" authorId="0" shapeId="0" xr:uid="{194B2653-0C4F-4C70-9022-D561C2E48042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25" authorId="0" shapeId="0" xr:uid="{B638DDD8-EAB9-44DB-9E34-0614AD304FC4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4 from AHKF Stock</t>
        </r>
      </text>
    </comment>
    <comment ref="A27" authorId="0" shapeId="0" xr:uid="{C4942730-0A86-4AD1-A47D-36118BF38CC6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20 from AHKF Stock</t>
        </r>
      </text>
    </comment>
    <comment ref="A28" authorId="0" shapeId="0" xr:uid="{E3B7C2D4-30AD-4634-B3FB-33A709FAF7DB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120 from AHKF Stock</t>
        </r>
      </text>
    </comment>
    <comment ref="A29" authorId="0" shapeId="0" xr:uid="{EF319007-5B10-4524-A448-DF71CFF916AF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250 from AHKF Stock</t>
        </r>
      </text>
    </comment>
    <comment ref="A30" authorId="0" shapeId="0" xr:uid="{608D9AC9-6C87-4925-8722-098DD0587DA5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20 from AHKF Stock</t>
        </r>
      </text>
    </comment>
    <comment ref="A31" authorId="0" shapeId="0" xr:uid="{508F7550-2D6D-4D6B-A367-05A342B6F64B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20 from AHKF Stock</t>
        </r>
      </text>
    </comment>
    <comment ref="A32" authorId="0" shapeId="0" xr:uid="{CC8679C9-3565-4D11-ACB2-B0D1AB065943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20 from AHKF Stock</t>
        </r>
      </text>
    </comment>
    <comment ref="A33" authorId="0" shapeId="0" xr:uid="{64CBAA35-471A-4096-9605-E2792853FBC7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10
 from AHKF Stock</t>
        </r>
      </text>
    </comment>
    <comment ref="A36" authorId="0" shapeId="0" xr:uid="{D67E7332-D03E-4147-BF42-8C1ADB202FC0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10 from AHKF Stock</t>
        </r>
      </text>
    </comment>
    <comment ref="A37" authorId="0" shapeId="0" xr:uid="{1A656B9A-C0CB-4174-BDD0-0CADD476F220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5 from AHKF Stock</t>
        </r>
      </text>
    </comment>
    <comment ref="A38" authorId="0" shapeId="0" xr:uid="{44B301D3-B857-49C1-A6BA-BACC5CA7C787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33 from AHKF Stock</t>
        </r>
      </text>
    </comment>
    <comment ref="A40" authorId="0" shapeId="0" xr:uid="{1B88B994-90F2-4C90-82BC-A012BEB131ED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10 from AHKF Stock </t>
        </r>
      </text>
    </comment>
    <comment ref="A41" authorId="0" shapeId="0" xr:uid="{A8B764D2-ECBE-4BB7-B231-272AB038DEDE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10 from AHKF
 </t>
        </r>
      </text>
    </comment>
    <comment ref="A42" authorId="0" shapeId="0" xr:uid="{40923204-EE1C-4296-8BB4-D8DFCDFDF2B8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20 from AHKF Stock</t>
        </r>
      </text>
    </comment>
    <comment ref="A44" authorId="0" shapeId="0" xr:uid="{C573750F-16C8-4A9B-9474-3A7C298907F9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10 from AHKF Stock</t>
        </r>
      </text>
    </comment>
    <comment ref="A45" authorId="0" shapeId="0" xr:uid="{33162B99-72EB-45FD-99D4-97FC5F9F90BA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8 from AHKF Stock</t>
        </r>
      </text>
    </comment>
    <comment ref="A46" authorId="0" shapeId="0" xr:uid="{2C6FD4DA-5E2E-4D78-B464-48BB31922305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8 from AHKF Stock</t>
        </r>
      </text>
    </comment>
    <comment ref="A59" authorId="0" shapeId="0" xr:uid="{83797153-09C7-4131-A33C-4C6FF21D1A24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3 from AHKF Stock</t>
        </r>
      </text>
    </comment>
    <comment ref="A60" authorId="0" shapeId="0" xr:uid="{BF378E21-3612-4C04-B6EC-A4175C94A5FE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6 from AHKF Stock</t>
        </r>
      </text>
    </comment>
    <comment ref="A62" authorId="0" shapeId="0" xr:uid="{8B8322AA-6AB3-437D-B136-0579FEF06437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2 from AHKF Stock</t>
        </r>
      </text>
    </comment>
    <comment ref="A64" authorId="0" shapeId="0" xr:uid="{67845819-F58D-458E-B0A5-99C363A144E8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5 from AHKF Stock</t>
        </r>
      </text>
    </comment>
    <comment ref="A66" authorId="0" shapeId="0" xr:uid="{0D20B522-EFFD-4AF5-91F1-562B5A6C2170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18 from AHKF Stock</t>
        </r>
      </text>
    </comment>
    <comment ref="A67" authorId="0" shapeId="0" xr:uid="{61405A1E-E51B-4388-9B8C-53470EFBF383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6 from AHKF Stock</t>
        </r>
      </text>
    </comment>
    <comment ref="A68" authorId="0" shapeId="0" xr:uid="{FB005878-3FDC-42F1-8A87-6209742F05F3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20 from AHKF Stock</t>
        </r>
      </text>
    </comment>
    <comment ref="A70" authorId="0" shapeId="0" xr:uid="{63979119-B260-4116-B385-1653924AA07F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4 from AHKF Stock</t>
        </r>
      </text>
    </comment>
    <comment ref="A79" authorId="0" shapeId="0" xr:uid="{E28F379B-7ADE-4CBB-98DC-F62D11BEFECC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110 from AHKF Stock</t>
        </r>
      </text>
    </comment>
  </commentList>
</comments>
</file>

<file path=xl/sharedStrings.xml><?xml version="1.0" encoding="utf-8"?>
<sst xmlns="http://schemas.openxmlformats.org/spreadsheetml/2006/main" count="587" uniqueCount="203">
  <si>
    <t>Balance Stock</t>
  </si>
  <si>
    <t>Minimum Stock to be Kept</t>
  </si>
  <si>
    <t xml:space="preserve">Product Name </t>
  </si>
  <si>
    <t xml:space="preserve">Quantity </t>
  </si>
  <si>
    <t xml:space="preserve">Status </t>
  </si>
  <si>
    <t xml:space="preserve">Procurement Sugestions </t>
  </si>
  <si>
    <t>Product Name</t>
  </si>
  <si>
    <t xml:space="preserve">Everyday Milk Powder(850 Grams) </t>
  </si>
  <si>
    <t>Coffee (Nescafe 200 gm) Jar</t>
  </si>
  <si>
    <t xml:space="preserve">White Sugar Kg </t>
  </si>
  <si>
    <t>Phynenyl  (2.75 Lit)</t>
  </si>
  <si>
    <t xml:space="preserve">Broom-Phool Jharoo </t>
  </si>
  <si>
    <t>Broom-Jharoo (Bamboo)</t>
  </si>
  <si>
    <t>Wiper (Large size)</t>
  </si>
  <si>
    <t>Wiper for Washroom (Small size)</t>
  </si>
  <si>
    <t>Mop (Dry)</t>
  </si>
  <si>
    <t>Mop (Wet)</t>
  </si>
  <si>
    <t>Air Freshner (Air Wick)</t>
  </si>
  <si>
    <t>Disposable Glass</t>
  </si>
  <si>
    <t>Towel (Medium)</t>
  </si>
  <si>
    <t>Dust Bin</t>
  </si>
  <si>
    <t xml:space="preserve">Toilet Brush </t>
  </si>
  <si>
    <t>Toilet Plunger</t>
  </si>
  <si>
    <t xml:space="preserve">Duster Cloth </t>
  </si>
  <si>
    <t>Hand Washing Soap (Large size)</t>
  </si>
  <si>
    <t>Surf  (500 GRM) Pkt</t>
  </si>
  <si>
    <t xml:space="preserve">Sweep Tiger Bottle </t>
  </si>
  <si>
    <t xml:space="preserve">Air Freshener Bottle Pack  </t>
  </si>
  <si>
    <t xml:space="preserve">Tissue Box Rose Petal  Box </t>
  </si>
  <si>
    <t xml:space="preserve">Toilet Roll Tissues  Roll Pack </t>
  </si>
  <si>
    <t>Box File (Blue color)</t>
  </si>
  <si>
    <t>Seperator Set</t>
  </si>
  <si>
    <t>Eraser</t>
  </si>
  <si>
    <t>Stapler Pin (Dollar)(Size: 24/6)</t>
  </si>
  <si>
    <t>Punch Machine</t>
  </si>
  <si>
    <t>UHU Stick (21 gm)</t>
  </si>
  <si>
    <t>Double Tape</t>
  </si>
  <si>
    <t>Calculator (Casio)(Medium)</t>
  </si>
  <si>
    <t>Masking Paper Tape (2")</t>
  </si>
  <si>
    <t>Masking Paper Tape (1")</t>
  </si>
  <si>
    <t>Whitner (Correction Pen)</t>
  </si>
  <si>
    <t>Led Pencil</t>
  </si>
  <si>
    <t>Sharpner</t>
  </si>
  <si>
    <t>Board Eraser</t>
  </si>
  <si>
    <t>Scotch Tape (Small)</t>
  </si>
  <si>
    <t>Sticky Note (3x3)</t>
  </si>
  <si>
    <t>Ball Point</t>
  </si>
  <si>
    <t>Ball Point (Piano)</t>
  </si>
  <si>
    <t>Scale (Steel)</t>
  </si>
  <si>
    <t>Calculator (Citizen)</t>
  </si>
  <si>
    <t>Stapler (Heavy duty)</t>
  </si>
  <si>
    <t>Scissor</t>
  </si>
  <si>
    <t>Paper cutter</t>
  </si>
  <si>
    <t>Note pad (RADS Printed)</t>
  </si>
  <si>
    <t>Staple pin remover (0508)</t>
  </si>
  <si>
    <t>Staple pin remover (small)</t>
  </si>
  <si>
    <t>Paper clip (30 mm)</t>
  </si>
  <si>
    <t>Sticky Note (3x1)</t>
  </si>
  <si>
    <t>Binder clips (Small)</t>
  </si>
  <si>
    <t>Binder clips (Medium)</t>
  </si>
  <si>
    <t>Binding Tape (2")</t>
  </si>
  <si>
    <t>Register Offset</t>
  </si>
  <si>
    <t>Stationery Register</t>
  </si>
  <si>
    <t>Letter Dispatched Register</t>
  </si>
  <si>
    <t>Letter Receiving Register</t>
  </si>
  <si>
    <t>Vehicle Log Book</t>
  </si>
  <si>
    <t>Writing Pad (Small)</t>
  </si>
  <si>
    <t>Rubber Band</t>
  </si>
  <si>
    <t>Binder clips (Large)</t>
  </si>
  <si>
    <t>AHKF Envelopes A/4</t>
  </si>
  <si>
    <t>AHKF Envelopes L/S</t>
  </si>
  <si>
    <t>AHKRC Envelopes A/4</t>
  </si>
  <si>
    <t>AHKRC Envelopes F/5</t>
  </si>
  <si>
    <t>AHKRC Envelopes L/S</t>
  </si>
  <si>
    <t>RADS Envelopes A/4</t>
  </si>
  <si>
    <t>RADS Envelopes F/5</t>
  </si>
  <si>
    <t>RADS Envelopes L/S</t>
  </si>
  <si>
    <t>RADS Card Folder A/4</t>
  </si>
  <si>
    <t>AHKF Card Folder A/4</t>
  </si>
  <si>
    <t>AHKRC Card Folder A/4</t>
  </si>
  <si>
    <t>Arrow Flags</t>
  </si>
  <si>
    <t>Envelopes White (L/S)</t>
  </si>
  <si>
    <t>Envelopes White (A/4)</t>
  </si>
  <si>
    <t>Envelopes White (A/5)</t>
  </si>
  <si>
    <t>Carbon Paper (Pkt)</t>
  </si>
  <si>
    <t>Masking Paper Tape (5")</t>
  </si>
  <si>
    <t>Scotch Tape (2")</t>
  </si>
  <si>
    <t>Scotch Tape (5")</t>
  </si>
  <si>
    <t>Inkpad</t>
  </si>
  <si>
    <t>Marker (Tempo)</t>
  </si>
  <si>
    <t>UHU Stick (Small)</t>
  </si>
  <si>
    <t>Board Marker</t>
  </si>
  <si>
    <t>Permanent Marker</t>
  </si>
  <si>
    <t>Ink Pot</t>
  </si>
  <si>
    <t xml:space="preserve">Biscuit (Half Rolls)  </t>
  </si>
  <si>
    <t>Hand Wash Liquid (1 Liter)</t>
  </si>
  <si>
    <t xml:space="preserve">Glint (500 ML) </t>
  </si>
  <si>
    <t>Mortien Spray</t>
  </si>
  <si>
    <t>Dust Pan</t>
  </si>
  <si>
    <t>Brush Cleaning with Rode (Jala)</t>
  </si>
  <si>
    <t>File Folder (Button Plastic)</t>
  </si>
  <si>
    <t xml:space="preserve">Paper Rim A/4 (AA) 80 Grm </t>
  </si>
  <si>
    <t>Highlighter Pen</t>
  </si>
  <si>
    <t>Thumb pins</t>
  </si>
  <si>
    <t>Tea Black (100 Bags) Pkt</t>
  </si>
  <si>
    <t>Green Tea (25 Bags) Pkt</t>
  </si>
  <si>
    <t>Procurement Suggestion</t>
  </si>
  <si>
    <t xml:space="preserve">Stapler Machine   </t>
  </si>
  <si>
    <t xml:space="preserve">Color Page (A/4) Pkt </t>
  </si>
  <si>
    <t xml:space="preserve">Box File </t>
  </si>
  <si>
    <t xml:space="preserve">Total Cost </t>
  </si>
  <si>
    <t xml:space="preserve">Unit Price </t>
  </si>
  <si>
    <t>Grand total</t>
  </si>
  <si>
    <t>Grand Total</t>
  </si>
  <si>
    <t>Checked By</t>
  </si>
  <si>
    <t>Prepared By</t>
  </si>
  <si>
    <t>Muhammad Saadat</t>
  </si>
  <si>
    <t>Sr. Admin Officer</t>
  </si>
  <si>
    <t>________________________</t>
  </si>
  <si>
    <t>Muhammad Hasan</t>
  </si>
  <si>
    <t>Finance Officer</t>
  </si>
  <si>
    <t>Operations Manager</t>
  </si>
  <si>
    <t>Reviewed By</t>
  </si>
  <si>
    <t>AHKF Diary (New)</t>
  </si>
  <si>
    <t>RADS Diary (New)</t>
  </si>
  <si>
    <t>Approved By</t>
  </si>
  <si>
    <t>Raja Muneeb Islam</t>
  </si>
  <si>
    <t>Admin &amp; Inventory Assistant</t>
  </si>
  <si>
    <t>Scotch Tape (1")</t>
  </si>
  <si>
    <t>Lemon Max (475 ML)</t>
  </si>
  <si>
    <t>Tea Black  Pkt(100 bags)</t>
  </si>
  <si>
    <t>Packing Tape (2")</t>
  </si>
  <si>
    <t>Masking Paper Tape (3")</t>
  </si>
  <si>
    <t>Paper clip (30 mm) PKT</t>
  </si>
  <si>
    <t>AHKF Notepad</t>
  </si>
  <si>
    <t>Binder clips (Small) Nos</t>
  </si>
  <si>
    <t>Binder clips (Medium) Nos</t>
  </si>
  <si>
    <t>Binder clips (Large) Nos</t>
  </si>
  <si>
    <t>Rubber Band (Boxes)
Each box contains 100 pcs</t>
  </si>
  <si>
    <t>Thumb pins/Drawing pins 
(11 boxes/pkts)</t>
  </si>
  <si>
    <t>Push pins 
(5 boxes/pkts each contains 100 pcs)</t>
  </si>
  <si>
    <t xml:space="preserve">Push pins 
</t>
  </si>
  <si>
    <t>UHU Stick (65 ml)</t>
  </si>
  <si>
    <t>UHU Stick (Small) (35 ml)</t>
  </si>
  <si>
    <t>Glue Stick (15g)</t>
  </si>
  <si>
    <t>Stapler Pin (Dollar)(Size: 24/6)
Remaining 9 little pkts=1 box
each box contain 10 little boxes(1000staples)</t>
  </si>
  <si>
    <t>Hand Wash Liquid (750 ML)</t>
  </si>
  <si>
    <t>Dettol Hand Wash Bottle 250ml</t>
  </si>
  <si>
    <t xml:space="preserve">RADS Monthly Groceries Stock Report Head Office </t>
  </si>
  <si>
    <t>Zeeshan Nasar</t>
  </si>
  <si>
    <t xml:space="preserve">RADS Monthly Stationery Stock Report </t>
  </si>
  <si>
    <t xml:space="preserve">RADS Monthly Janitorial Items Stock Report  </t>
  </si>
  <si>
    <t>Stock OUT (During Month)</t>
  </si>
  <si>
    <t>Stock OUT
(During the Month)</t>
  </si>
  <si>
    <t>Garbage Bags (20" x 30")</t>
  </si>
  <si>
    <t>Coffee (Nescafe 100 gm) Jar</t>
  </si>
  <si>
    <t>Stock Out (During Month)</t>
  </si>
  <si>
    <t>Green Tea (30 Bags) Pkt</t>
  </si>
  <si>
    <t>Dust Bin Bags (size 20" x 24")</t>
  </si>
  <si>
    <t>Dettol Surface Cleaner 1Ltr</t>
  </si>
  <si>
    <t>Anti Dust Broom (Brush)Cleaner</t>
  </si>
  <si>
    <t>Multi Purpose Cleaner( window cleaning brush)</t>
  </si>
  <si>
    <t xml:space="preserve">Harpic (450ml) bottle </t>
  </si>
  <si>
    <t>Sun Brite</t>
  </si>
  <si>
    <t xml:space="preserve"> Brite Sun Spunch</t>
  </si>
  <si>
    <t>Window Cleaning Brush</t>
  </si>
  <si>
    <t>Window cleaning brush</t>
  </si>
  <si>
    <t>RADS  Monthly Breakup of Office Supplies (Head Office)</t>
  </si>
  <si>
    <t xml:space="preserve">Harpic (450 ml) bottle </t>
  </si>
  <si>
    <t>Dettol Hand Wash Liquid (250 ml)</t>
  </si>
  <si>
    <t>Mop (Wet) refill</t>
  </si>
  <si>
    <t>Toilet Roll Tissues  Roll Pack 
each contain 10</t>
  </si>
  <si>
    <t>Garbage Bag (size 20" x 24")</t>
  </si>
  <si>
    <t>Garbage Bags (22" x 32")</t>
  </si>
  <si>
    <t>Garbage Bags ("22*32, 20*30, 20*24")</t>
  </si>
  <si>
    <t>Tulip Toillet Brust with Box</t>
  </si>
  <si>
    <t>Dettol Surface Cleaner (Multi Clean)</t>
  </si>
  <si>
    <t>Anti Dust Broom</t>
  </si>
  <si>
    <t>Window cleaning wiper/ brush with
steel handle</t>
  </si>
  <si>
    <t>-</t>
  </si>
  <si>
    <t>AHKF Envelopes A/5</t>
  </si>
  <si>
    <t>AHKRC Envelopes A/5</t>
  </si>
  <si>
    <t xml:space="preserve">Paper Rim A/4 (AA) 70 Grm </t>
  </si>
  <si>
    <t>RADS Envelopes L/H</t>
  </si>
  <si>
    <t xml:space="preserve">RADS Envelopes A/5 </t>
  </si>
  <si>
    <t xml:space="preserve">Andaz e Hunar </t>
  </si>
  <si>
    <t>Andaz e Hunar</t>
  </si>
  <si>
    <t>Opening Stock
1st April,2026</t>
  </si>
  <si>
    <t>Balance Quantity 
30thApril,2026</t>
  </si>
  <si>
    <t xml:space="preserve">Stock In
22nd April,2026
</t>
  </si>
  <si>
    <t>Month of April 2026</t>
  </si>
  <si>
    <t>Opening Stock
1st April, 26</t>
  </si>
  <si>
    <t>Balance Quantity 
30th April,26</t>
  </si>
  <si>
    <t>Stock In 22nd April, 2026</t>
  </si>
  <si>
    <t>Month of  April 2026</t>
  </si>
  <si>
    <t xml:space="preserve">RADS Monthly Stationary Items Stock Report  </t>
  </si>
  <si>
    <t>Opening Stock 1st April,2026</t>
  </si>
  <si>
    <t>Balance Quantity
30th April,2026</t>
  </si>
  <si>
    <t>Stock IN 
22nd April,2026</t>
  </si>
  <si>
    <t>Groceries  M/O April 2026</t>
  </si>
  <si>
    <t>April, 2026</t>
  </si>
  <si>
    <t>Janitorial M/O April,2026</t>
  </si>
  <si>
    <t>Stationery M/O April,2026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</si>
</sst>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]dd\-mmm\-yyyy;@" x16r2:formatCode16="[$-en-PK,1]dd\-mmm\-yyyy;@"/>
  </numFmts>
  <fonts count="1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theme="0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9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92">
    <xf numFmtId="0" fontId="0" fillId="0" borderId="0" xfId="0"/>
    <xf numFmtId="0" fontId="8" fillId="5" borderId="7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10" fillId="5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 wrapText="1"/>
    </xf>
    <xf numFmtId="0" fontId="7" fillId="7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 wrapText="1"/>
    </xf>
    <xf numFmtId="0" fontId="10" fillId="8" borderId="0" xfId="0" applyFont="1" applyFill="1"/>
    <xf numFmtId="0" fontId="10" fillId="0" borderId="0" xfId="0" applyFont="1"/>
    <xf numFmtId="0" fontId="11" fillId="8" borderId="1" xfId="0" applyFont="1" applyFill="1" applyBorder="1" applyAlignment="1">
      <alignment horizontal="center"/>
    </xf>
    <xf numFmtId="0" fontId="11" fillId="8" borderId="0" xfId="0" applyFont="1" applyFill="1"/>
    <xf numFmtId="43" fontId="10" fillId="0" borderId="1" xfId="0" applyNumberFormat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0" borderId="0" xfId="0" applyFont="1"/>
    <xf numFmtId="43" fontId="10" fillId="9" borderId="3" xfId="1" applyFont="1" applyFill="1" applyBorder="1" applyAlignment="1">
      <alignment horizontal="center" vertical="center" wrapText="1"/>
    </xf>
    <xf numFmtId="43" fontId="10" fillId="9" borderId="1" xfId="1" applyFont="1" applyFill="1" applyBorder="1" applyAlignment="1">
      <alignment horizontal="center" vertical="center" wrapText="1"/>
    </xf>
    <xf numFmtId="43" fontId="10" fillId="9" borderId="1" xfId="1" applyFont="1" applyFill="1" applyBorder="1" applyAlignment="1">
      <alignment vertical="center" wrapText="1"/>
    </xf>
    <xf numFmtId="43" fontId="10" fillId="9" borderId="1" xfId="1" applyFont="1" applyFill="1" applyBorder="1" applyAlignment="1">
      <alignment horizontal="right" vertical="center"/>
    </xf>
    <xf numFmtId="43" fontId="11" fillId="0" borderId="1" xfId="0" applyNumberFormat="1" applyFont="1" applyBorder="1"/>
    <xf numFmtId="43" fontId="7" fillId="0" borderId="1" xfId="0" applyNumberFormat="1" applyFont="1" applyBorder="1"/>
    <xf numFmtId="0" fontId="10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9" borderId="1" xfId="0" applyFont="1" applyFill="1" applyBorder="1"/>
    <xf numFmtId="0" fontId="10" fillId="9" borderId="1" xfId="0" applyFont="1" applyFill="1" applyBorder="1" applyAlignment="1">
      <alignment horizontal="center"/>
    </xf>
    <xf numFmtId="0" fontId="10" fillId="9" borderId="1" xfId="0" applyFont="1" applyFill="1" applyBorder="1" applyAlignment="1">
      <alignment vertical="center"/>
    </xf>
    <xf numFmtId="0" fontId="11" fillId="9" borderId="1" xfId="0" applyFont="1" applyFill="1" applyBorder="1" applyAlignment="1">
      <alignment horizontal="center"/>
    </xf>
    <xf numFmtId="164" fontId="10" fillId="9" borderId="1" xfId="0" applyNumberFormat="1" applyFont="1" applyFill="1" applyBorder="1"/>
    <xf numFmtId="0" fontId="10" fillId="9" borderId="1" xfId="0" applyFont="1" applyFill="1" applyBorder="1" applyAlignment="1">
      <alignment wrapText="1"/>
    </xf>
    <xf numFmtId="0" fontId="10" fillId="9" borderId="14" xfId="0" applyFont="1" applyFill="1" applyBorder="1" applyAlignment="1">
      <alignment horizontal="center"/>
    </xf>
    <xf numFmtId="0" fontId="10" fillId="9" borderId="14" xfId="0" applyFont="1" applyFill="1" applyBorder="1" applyAlignment="1">
      <alignment vertical="center"/>
    </xf>
    <xf numFmtId="0" fontId="11" fillId="9" borderId="14" xfId="0" applyFont="1" applyFill="1" applyBorder="1" applyAlignment="1">
      <alignment horizontal="center"/>
    </xf>
    <xf numFmtId="0" fontId="0" fillId="9" borderId="0" xfId="0" applyFill="1"/>
    <xf numFmtId="0" fontId="10" fillId="5" borderId="7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wrapText="1"/>
    </xf>
    <xf numFmtId="43" fontId="13" fillId="9" borderId="1" xfId="1" applyFont="1" applyFill="1" applyBorder="1" applyAlignment="1">
      <alignment horizontal="center"/>
    </xf>
    <xf numFmtId="43" fontId="10" fillId="9" borderId="1" xfId="0" applyNumberFormat="1" applyFont="1" applyFill="1" applyBorder="1" applyAlignment="1">
      <alignment horizontal="center"/>
    </xf>
    <xf numFmtId="43" fontId="10" fillId="9" borderId="1" xfId="1" applyFont="1" applyFill="1" applyBorder="1" applyAlignment="1">
      <alignment horizontal="center"/>
    </xf>
    <xf numFmtId="43" fontId="13" fillId="9" borderId="3" xfId="1" applyFont="1" applyFill="1" applyBorder="1" applyAlignment="1">
      <alignment horizontal="center"/>
    </xf>
    <xf numFmtId="0" fontId="10" fillId="9" borderId="1" xfId="0" applyFont="1" applyFill="1" applyBorder="1" applyAlignment="1">
      <alignment vertical="center" wrapText="1"/>
    </xf>
    <xf numFmtId="0" fontId="10" fillId="9" borderId="4" xfId="0" applyFont="1" applyFill="1" applyBorder="1" applyAlignment="1">
      <alignment horizontal="center"/>
    </xf>
    <xf numFmtId="164" fontId="10" fillId="9" borderId="7" xfId="0" applyNumberFormat="1" applyFont="1" applyFill="1" applyBorder="1"/>
    <xf numFmtId="0" fontId="10" fillId="9" borderId="1" xfId="0" applyFont="1" applyFill="1" applyBorder="1" applyAlignment="1">
      <alignment horizontal="center" wrapText="1"/>
    </xf>
    <xf numFmtId="0" fontId="10" fillId="0" borderId="1" xfId="0" applyFont="1" applyBorder="1" applyAlignment="1">
      <alignment vertical="center" wrapText="1"/>
    </xf>
    <xf numFmtId="0" fontId="14" fillId="9" borderId="1" xfId="0" applyFont="1" applyFill="1" applyBorder="1" applyAlignment="1">
      <alignment horizontal="center"/>
    </xf>
    <xf numFmtId="0" fontId="10" fillId="10" borderId="1" xfId="0" applyFont="1" applyFill="1" applyBorder="1"/>
    <xf numFmtId="0" fontId="0" fillId="10" borderId="0" xfId="0" applyFill="1"/>
    <xf numFmtId="0" fontId="0" fillId="0" borderId="0" xfId="0" applyAlignment="1">
      <alignment horizontal="left"/>
    </xf>
    <xf numFmtId="0" fontId="3" fillId="4" borderId="0" xfId="0" applyFont="1" applyFill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 wrapText="1"/>
    </xf>
    <xf numFmtId="0" fontId="7" fillId="6" borderId="3" xfId="0" applyFont="1" applyFill="1" applyBorder="1" applyAlignment="1">
      <alignment horizontal="center" wrapText="1"/>
    </xf>
    <xf numFmtId="0" fontId="7" fillId="7" borderId="1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 wrapText="1"/>
    </xf>
    <xf numFmtId="0" fontId="8" fillId="3" borderId="3" xfId="0" applyFont="1" applyFill="1" applyBorder="1" applyAlignment="1">
      <alignment horizontal="center" wrapText="1"/>
    </xf>
    <xf numFmtId="0" fontId="7" fillId="2" borderId="8" xfId="0" applyFont="1" applyFill="1" applyBorder="1" applyAlignment="1">
      <alignment horizontal="center" wrapText="1"/>
    </xf>
    <xf numFmtId="0" fontId="7" fillId="2" borderId="9" xfId="0" applyFont="1" applyFill="1" applyBorder="1" applyAlignment="1">
      <alignment horizontal="center" wrapText="1"/>
    </xf>
    <xf numFmtId="0" fontId="7" fillId="5" borderId="7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top"/>
    </xf>
    <xf numFmtId="0" fontId="7" fillId="2" borderId="4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11" fillId="6" borderId="2" xfId="0" applyFont="1" applyFill="1" applyBorder="1" applyAlignment="1">
      <alignment horizontal="center" wrapText="1"/>
    </xf>
    <xf numFmtId="0" fontId="11" fillId="6" borderId="3" xfId="0" applyFont="1" applyFill="1" applyBorder="1" applyAlignment="1">
      <alignment horizontal="center" wrapText="1"/>
    </xf>
    <xf numFmtId="0" fontId="11" fillId="7" borderId="1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 wrapText="1"/>
    </xf>
    <xf numFmtId="0" fontId="10" fillId="3" borderId="3" xfId="0" applyFont="1" applyFill="1" applyBorder="1" applyAlignment="1">
      <alignment horizontal="center" wrapText="1"/>
    </xf>
    <xf numFmtId="0" fontId="11" fillId="2" borderId="8" xfId="0" applyFont="1" applyFill="1" applyBorder="1" applyAlignment="1">
      <alignment horizontal="center" wrapText="1"/>
    </xf>
    <xf numFmtId="0" fontId="11" fillId="2" borderId="9" xfId="0" applyFont="1" applyFill="1" applyBorder="1" applyAlignment="1">
      <alignment horizontal="center" wrapText="1"/>
    </xf>
    <xf numFmtId="0" fontId="11" fillId="5" borderId="7" xfId="0" applyFont="1" applyFill="1" applyBorder="1" applyAlignment="1">
      <alignment horizontal="center" wrapText="1"/>
    </xf>
    <xf numFmtId="0" fontId="11" fillId="5" borderId="1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 wrapText="1"/>
    </xf>
    <xf numFmtId="0" fontId="11" fillId="2" borderId="3" xfId="0" applyFont="1" applyFill="1" applyBorder="1" applyAlignment="1">
      <alignment horizontal="center" wrapText="1"/>
    </xf>
    <xf numFmtId="0" fontId="11" fillId="5" borderId="1" xfId="0" applyFont="1" applyFill="1" applyBorder="1" applyAlignment="1">
      <alignment horizontal="center" wrapText="1"/>
    </xf>
    <xf numFmtId="0" fontId="9" fillId="8" borderId="11" xfId="0" applyFont="1" applyFill="1" applyBorder="1" applyAlignment="1">
      <alignment horizontal="center"/>
    </xf>
    <xf numFmtId="0" fontId="9" fillId="8" borderId="12" xfId="0" applyFont="1" applyFill="1" applyBorder="1" applyAlignment="1">
      <alignment horizontal="center"/>
    </xf>
    <xf numFmtId="0" fontId="9" fillId="8" borderId="13" xfId="0" applyFont="1" applyFill="1" applyBorder="1" applyAlignment="1">
      <alignment horizontal="center"/>
    </xf>
    <xf numFmtId="49" fontId="6" fillId="8" borderId="11" xfId="0" applyNumberFormat="1" applyFont="1" applyFill="1" applyBorder="1" applyAlignment="1">
      <alignment horizontal="center"/>
    </xf>
    <xf numFmtId="49" fontId="6" fillId="8" borderId="12" xfId="0" applyNumberFormat="1" applyFont="1" applyFill="1" applyBorder="1" applyAlignment="1">
      <alignment horizontal="center"/>
    </xf>
    <xf numFmtId="49" fontId="6" fillId="8" borderId="13" xfId="0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8" borderId="10" xfId="0" applyFont="1" applyFill="1" applyBorder="1" applyAlignment="1">
      <alignment horizontal="center"/>
    </xf>
    <xf numFmtId="0" fontId="10" fillId="9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70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  <fill>
        <patternFill>
          <fgColor theme="0"/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  <fill>
        <patternFill>
          <fgColor theme="0"/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  <fill>
        <patternFill>
          <fgColor theme="0"/>
          <bgColor rgb="FFFFFF00"/>
        </patternFill>
      </fill>
    </dxf>
  </dxfs>
  <tableStyles count="0" defaultTableStyle="TableStyleMedium2" defaultPivotStyle="PivotStyleLight16"/>
  <colors>
    <mruColors>
      <color rgb="FFF8A6E1"/>
      <color rgb="FFF7FBAF"/>
      <color rgb="FFD1BA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uneeb Islam" id="{69EB9FEE-8153-4650-A70B-5FCC6D467673}" userId="S::Muneeb@ahk-foundation.org::bef5ac0b-f7b9-4de0-aab1-e72a90fa66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9" dT="2026-05-05T01:09:39.61" personId="{69EB9FEE-8153-4650-A70B-5FCC6D467673}" id="{0B8D0B52-35E1-49C9-A94D-5F66A4160D69}">
    <text>Letter size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66486-A64E-440D-A3ED-EE2EEF964D35}">
  <dimension ref="A1:M19"/>
  <sheetViews>
    <sheetView zoomScaleNormal="100" workbookViewId="0">
      <selection activeCell="B13" sqref="B13"/>
    </sheetView>
  </sheetViews>
  <sheetFormatPr defaultRowHeight="15" x14ac:dyDescent="0.25"/>
  <cols>
    <col min="1" max="1" width="12.7109375" customWidth="1"/>
    <col min="2" max="2" width="29.42578125" customWidth="1"/>
    <col min="3" max="3" width="18.42578125" bestFit="1" customWidth="1"/>
    <col min="4" max="4" width="12" customWidth="1"/>
    <col min="5" max="5" width="18.28515625" customWidth="1"/>
    <col min="6" max="6" width="11.7109375" customWidth="1"/>
    <col min="7" max="7" width="30.85546875" customWidth="1"/>
    <col min="8" max="8" width="9.7109375" bestFit="1" customWidth="1"/>
    <col min="9" max="9" width="14.7109375" customWidth="1"/>
    <col min="10" max="10" width="11.28515625" customWidth="1"/>
    <col min="11" max="11" width="31.140625" customWidth="1"/>
    <col min="12" max="12" width="11.28515625" customWidth="1"/>
    <col min="13" max="13" width="21.7109375" customWidth="1"/>
  </cols>
  <sheetData>
    <row r="1" spans="1:13" ht="24.6" customHeight="1" x14ac:dyDescent="0.3">
      <c r="A1" s="53" t="s">
        <v>148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1:13" ht="21" customHeight="1" x14ac:dyDescent="0.25">
      <c r="A2" s="54" t="s">
        <v>190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</row>
    <row r="3" spans="1:13" ht="31.5" customHeight="1" x14ac:dyDescent="0.25">
      <c r="A3" s="55" t="s">
        <v>187</v>
      </c>
      <c r="B3" s="57" t="s">
        <v>0</v>
      </c>
      <c r="C3" s="57"/>
      <c r="D3" s="58" t="s">
        <v>1</v>
      </c>
      <c r="E3" s="60" t="s">
        <v>106</v>
      </c>
      <c r="F3" s="62" t="s">
        <v>189</v>
      </c>
      <c r="G3" s="63"/>
      <c r="H3" s="63"/>
      <c r="I3" s="63"/>
      <c r="J3" s="64" t="s">
        <v>153</v>
      </c>
      <c r="K3" s="65"/>
      <c r="L3" s="65"/>
      <c r="M3" s="66"/>
    </row>
    <row r="4" spans="1:13" ht="33.6" customHeight="1" x14ac:dyDescent="0.25">
      <c r="A4" s="56"/>
      <c r="B4" s="11" t="s">
        <v>6</v>
      </c>
      <c r="C4" s="12" t="s">
        <v>188</v>
      </c>
      <c r="D4" s="59"/>
      <c r="E4" s="61"/>
      <c r="F4" s="1"/>
      <c r="G4" s="2" t="s">
        <v>2</v>
      </c>
      <c r="H4" s="2" t="s">
        <v>3</v>
      </c>
      <c r="I4" s="2" t="s">
        <v>4</v>
      </c>
      <c r="J4" s="3"/>
      <c r="K4" s="3" t="s">
        <v>2</v>
      </c>
      <c r="L4" s="3" t="s">
        <v>3</v>
      </c>
      <c r="M4" s="3" t="s">
        <v>4</v>
      </c>
    </row>
    <row r="5" spans="1:13" ht="19.899999999999999" customHeight="1" x14ac:dyDescent="0.25">
      <c r="A5" s="29">
        <v>27</v>
      </c>
      <c r="B5" s="30" t="s">
        <v>7</v>
      </c>
      <c r="C5" s="31">
        <v>34</v>
      </c>
      <c r="D5" s="29">
        <v>10</v>
      </c>
      <c r="E5" s="45" t="str">
        <f t="shared" ref="E5:E10" si="0">IF(C5&lt;D5,"Place Order","")</f>
        <v/>
      </c>
      <c r="F5" s="46"/>
      <c r="G5" s="30" t="s">
        <v>7</v>
      </c>
      <c r="H5" s="29">
        <v>20</v>
      </c>
      <c r="I5" s="29"/>
      <c r="J5" s="32"/>
      <c r="K5" s="30" t="s">
        <v>7</v>
      </c>
      <c r="L5" s="29">
        <v>13</v>
      </c>
      <c r="M5" s="6"/>
    </row>
    <row r="6" spans="1:13" ht="19.899999999999999" customHeight="1" x14ac:dyDescent="0.25">
      <c r="A6" s="47">
        <v>0</v>
      </c>
      <c r="B6" s="30" t="s">
        <v>9</v>
      </c>
      <c r="C6" s="31">
        <v>0</v>
      </c>
      <c r="D6" s="29">
        <v>3</v>
      </c>
      <c r="E6" s="45" t="str">
        <f t="shared" si="0"/>
        <v>Place Order</v>
      </c>
      <c r="F6" s="46"/>
      <c r="G6" s="30" t="s">
        <v>9</v>
      </c>
      <c r="H6" s="29">
        <v>7</v>
      </c>
      <c r="I6" s="29"/>
      <c r="J6" s="32"/>
      <c r="K6" s="30" t="s">
        <v>9</v>
      </c>
      <c r="L6" s="29">
        <v>7</v>
      </c>
      <c r="M6" s="6"/>
    </row>
    <row r="7" spans="1:13" ht="19.899999999999999" customHeight="1" x14ac:dyDescent="0.25">
      <c r="A7" s="29">
        <v>24</v>
      </c>
      <c r="B7" s="30" t="s">
        <v>130</v>
      </c>
      <c r="C7" s="31">
        <v>28</v>
      </c>
      <c r="D7" s="29">
        <v>3</v>
      </c>
      <c r="E7" s="45" t="str">
        <f t="shared" si="0"/>
        <v/>
      </c>
      <c r="F7" s="46"/>
      <c r="G7" s="30" t="s">
        <v>130</v>
      </c>
      <c r="H7" s="29">
        <v>15</v>
      </c>
      <c r="I7" s="29"/>
      <c r="J7" s="32"/>
      <c r="K7" s="30" t="s">
        <v>104</v>
      </c>
      <c r="L7" s="29">
        <v>11</v>
      </c>
      <c r="M7" s="6"/>
    </row>
    <row r="8" spans="1:13" ht="19.899999999999999" customHeight="1" x14ac:dyDescent="0.25">
      <c r="A8" s="29">
        <v>4</v>
      </c>
      <c r="B8" s="30" t="s">
        <v>157</v>
      </c>
      <c r="C8" s="31">
        <v>7</v>
      </c>
      <c r="D8" s="29">
        <v>3</v>
      </c>
      <c r="E8" s="45" t="str">
        <f t="shared" si="0"/>
        <v/>
      </c>
      <c r="F8" s="46"/>
      <c r="G8" s="30" t="s">
        <v>157</v>
      </c>
      <c r="H8" s="29">
        <v>5</v>
      </c>
      <c r="I8" s="29"/>
      <c r="J8" s="32"/>
      <c r="K8" s="30" t="s">
        <v>157</v>
      </c>
      <c r="L8" s="29">
        <v>2</v>
      </c>
      <c r="M8" s="6"/>
    </row>
    <row r="9" spans="1:13" s="37" customFormat="1" ht="19.899999999999999" customHeight="1" x14ac:dyDescent="0.25">
      <c r="A9" s="29">
        <v>0</v>
      </c>
      <c r="B9" s="30" t="s">
        <v>8</v>
      </c>
      <c r="C9" s="31">
        <v>1</v>
      </c>
      <c r="D9" s="29">
        <v>1</v>
      </c>
      <c r="E9" s="45" t="str">
        <f t="shared" si="0"/>
        <v/>
      </c>
      <c r="F9" s="46"/>
      <c r="G9" s="30" t="s">
        <v>8</v>
      </c>
      <c r="H9" s="29">
        <v>2</v>
      </c>
      <c r="I9" s="29"/>
      <c r="J9" s="32"/>
      <c r="K9" s="30" t="s">
        <v>8</v>
      </c>
      <c r="L9" s="29">
        <v>1</v>
      </c>
      <c r="M9" s="28"/>
    </row>
    <row r="10" spans="1:13" ht="19.899999999999999" customHeight="1" x14ac:dyDescent="0.25">
      <c r="A10" s="29">
        <v>28</v>
      </c>
      <c r="B10" s="30" t="s">
        <v>94</v>
      </c>
      <c r="C10" s="31">
        <v>35</v>
      </c>
      <c r="D10" s="29">
        <v>10</v>
      </c>
      <c r="E10" s="45" t="str">
        <f t="shared" si="0"/>
        <v/>
      </c>
      <c r="F10" s="46"/>
      <c r="G10" s="30" t="s">
        <v>94</v>
      </c>
      <c r="H10" s="29">
        <v>14</v>
      </c>
      <c r="I10" s="29"/>
      <c r="J10" s="32"/>
      <c r="K10" s="30" t="s">
        <v>94</v>
      </c>
      <c r="L10" s="29">
        <v>0</v>
      </c>
      <c r="M10" s="6"/>
    </row>
    <row r="13" spans="1:13" x14ac:dyDescent="0.25">
      <c r="D13" s="26"/>
      <c r="M13" s="26"/>
    </row>
    <row r="14" spans="1:13" x14ac:dyDescent="0.25">
      <c r="B14" t="s">
        <v>118</v>
      </c>
      <c r="D14" s="27" t="s">
        <v>118</v>
      </c>
      <c r="E14" s="27"/>
      <c r="G14" t="s">
        <v>118</v>
      </c>
      <c r="K14" t="s">
        <v>118</v>
      </c>
      <c r="M14" s="26"/>
    </row>
    <row r="15" spans="1:13" x14ac:dyDescent="0.25">
      <c r="B15" t="s">
        <v>115</v>
      </c>
      <c r="D15" s="27" t="s">
        <v>122</v>
      </c>
      <c r="E15" s="27"/>
      <c r="G15" t="s">
        <v>114</v>
      </c>
      <c r="K15" t="s">
        <v>125</v>
      </c>
      <c r="M15" s="26"/>
    </row>
    <row r="16" spans="1:13" x14ac:dyDescent="0.25">
      <c r="B16" t="s">
        <v>126</v>
      </c>
      <c r="D16" s="52" t="s">
        <v>116</v>
      </c>
      <c r="E16" s="52"/>
      <c r="G16" t="s">
        <v>119</v>
      </c>
      <c r="K16" t="s">
        <v>149</v>
      </c>
      <c r="M16" s="26"/>
    </row>
    <row r="17" spans="2:13" x14ac:dyDescent="0.25">
      <c r="B17" t="s">
        <v>127</v>
      </c>
      <c r="D17" s="52" t="s">
        <v>117</v>
      </c>
      <c r="E17" s="52"/>
      <c r="G17" t="s">
        <v>120</v>
      </c>
      <c r="K17" t="s">
        <v>121</v>
      </c>
      <c r="M17" s="26"/>
    </row>
    <row r="18" spans="2:13" x14ac:dyDescent="0.25">
      <c r="D18" s="26"/>
      <c r="M18" s="26"/>
    </row>
    <row r="19" spans="2:13" x14ac:dyDescent="0.25">
      <c r="D19" s="26"/>
      <c r="M19" s="26"/>
    </row>
  </sheetData>
  <mergeCells count="10">
    <mergeCell ref="D16:E16"/>
    <mergeCell ref="D17:E17"/>
    <mergeCell ref="A1:M1"/>
    <mergeCell ref="A2:M2"/>
    <mergeCell ref="A3:A4"/>
    <mergeCell ref="B3:C3"/>
    <mergeCell ref="D3:D4"/>
    <mergeCell ref="E3:E4"/>
    <mergeCell ref="F3:I3"/>
    <mergeCell ref="J3:M3"/>
  </mergeCells>
  <conditionalFormatting sqref="E5:E10">
    <cfRule type="containsText" dxfId="69" priority="15" operator="containsText" text="Place Order">
      <formula>NOT(ISERROR(SEARCH("Place Order",E5)))</formula>
    </cfRule>
    <cfRule type="containsText" dxfId="68" priority="16" operator="containsText" text="Place Order">
      <formula>NOT(ISERROR(SEARCH("Place Order",E5)))</formula>
    </cfRule>
    <cfRule type="containsText" dxfId="67" priority="17" operator="containsText" text="Place Order">
      <formula>NOT(ISERROR(SEARCH("Place Order",E5)))</formula>
    </cfRule>
  </conditionalFormatting>
  <conditionalFormatting sqref="G5:G10">
    <cfRule type="duplicateValues" dxfId="66" priority="112"/>
  </conditionalFormatting>
  <conditionalFormatting sqref="K5:K10">
    <cfRule type="duplicateValues" dxfId="65" priority="114"/>
  </conditionalFormatting>
  <conditionalFormatting sqref="B5:B10">
    <cfRule type="duplicateValues" dxfId="0" priority="149"/>
  </conditionalFormatting>
  <dataValidations count="1">
    <dataValidation type="list" allowBlank="1" showInputMessage="1" showErrorMessage="1" sqref="K5:K10 G5:G10" xr:uid="{0E715A9C-4305-4255-A74B-E0C442EEA489}">
      <formula1>$B$5:$B$10</formula1>
    </dataValidation>
  </dataValidations>
  <pageMargins left="0.70866141732283472" right="0.70866141732283472" top="0.74803149606299213" bottom="0.74803149606299213" header="0.31496062992125984" footer="0.31496062992125984"/>
  <pageSetup paperSize="9" scale="5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22D66-35E1-4BE0-A80F-24099E818D17}">
  <dimension ref="C1:O48"/>
  <sheetViews>
    <sheetView zoomScaleNormal="100" workbookViewId="0">
      <selection activeCell="D9" sqref="D9"/>
    </sheetView>
  </sheetViews>
  <sheetFormatPr defaultRowHeight="15" x14ac:dyDescent="0.25"/>
  <cols>
    <col min="3" max="3" width="12.7109375" customWidth="1"/>
    <col min="4" max="4" width="31.28515625" customWidth="1"/>
    <col min="5" max="5" width="16.7109375" bestFit="1" customWidth="1"/>
    <col min="6" max="6" width="12" customWidth="1"/>
    <col min="7" max="7" width="18.28515625" customWidth="1"/>
    <col min="8" max="8" width="11.7109375" customWidth="1"/>
    <col min="9" max="9" width="29" bestFit="1" customWidth="1"/>
    <col min="10" max="10" width="9.7109375" bestFit="1" customWidth="1"/>
    <col min="11" max="11" width="14.7109375" customWidth="1"/>
    <col min="12" max="12" width="13.85546875" bestFit="1" customWidth="1"/>
    <col min="13" max="13" width="31.140625" customWidth="1"/>
    <col min="14" max="14" width="11.28515625" customWidth="1"/>
    <col min="15" max="15" width="21.7109375" customWidth="1"/>
  </cols>
  <sheetData>
    <row r="1" spans="3:15" ht="31.15" customHeight="1" x14ac:dyDescent="0.3">
      <c r="C1" s="53" t="s">
        <v>151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</row>
    <row r="2" spans="3:15" ht="25.15" customHeight="1" x14ac:dyDescent="0.25">
      <c r="C2" s="67" t="s">
        <v>194</v>
      </c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</row>
    <row r="3" spans="3:15" ht="23.45" customHeight="1" x14ac:dyDescent="0.25">
      <c r="C3" s="68" t="s">
        <v>191</v>
      </c>
      <c r="D3" s="70" t="s">
        <v>0</v>
      </c>
      <c r="E3" s="70"/>
      <c r="F3" s="71" t="s">
        <v>1</v>
      </c>
      <c r="G3" s="73" t="s">
        <v>106</v>
      </c>
      <c r="H3" s="75" t="s">
        <v>193</v>
      </c>
      <c r="I3" s="76"/>
      <c r="J3" s="76"/>
      <c r="K3" s="76"/>
      <c r="L3" s="77" t="s">
        <v>152</v>
      </c>
      <c r="M3" s="78"/>
      <c r="N3" s="78"/>
      <c r="O3" s="79"/>
    </row>
    <row r="4" spans="3:15" ht="33.6" customHeight="1" x14ac:dyDescent="0.25">
      <c r="C4" s="69"/>
      <c r="D4" s="9" t="s">
        <v>6</v>
      </c>
      <c r="E4" s="10" t="s">
        <v>192</v>
      </c>
      <c r="F4" s="72"/>
      <c r="G4" s="74"/>
      <c r="H4" s="38"/>
      <c r="I4" s="7" t="s">
        <v>2</v>
      </c>
      <c r="J4" s="7" t="s">
        <v>3</v>
      </c>
      <c r="K4" s="7" t="s">
        <v>4</v>
      </c>
      <c r="L4" s="39"/>
      <c r="M4" s="8" t="s">
        <v>2</v>
      </c>
      <c r="N4" s="8" t="s">
        <v>3</v>
      </c>
      <c r="O4" s="8" t="s">
        <v>4</v>
      </c>
    </row>
    <row r="5" spans="3:15" ht="19.899999999999999" customHeight="1" x14ac:dyDescent="0.25">
      <c r="C5" s="29">
        <v>0</v>
      </c>
      <c r="D5" s="30" t="s">
        <v>10</v>
      </c>
      <c r="E5" s="31">
        <v>0</v>
      </c>
      <c r="F5" s="29">
        <v>2</v>
      </c>
      <c r="G5" s="45" t="str">
        <f t="shared" ref="G5:G39" si="0">IF(E5&lt;F5,"Place Order","")</f>
        <v>Place Order</v>
      </c>
      <c r="H5" s="46"/>
      <c r="I5" s="30" t="s">
        <v>10</v>
      </c>
      <c r="J5" s="29">
        <v>1</v>
      </c>
      <c r="K5" s="29"/>
      <c r="L5" s="32"/>
      <c r="M5" s="30" t="s">
        <v>10</v>
      </c>
      <c r="N5" s="29">
        <v>0</v>
      </c>
      <c r="O5" s="28"/>
    </row>
    <row r="6" spans="3:15" ht="19.899999999999999" customHeight="1" x14ac:dyDescent="0.25">
      <c r="C6" s="29">
        <f t="shared" ref="C6:C34" si="1">J6-N6</f>
        <v>0</v>
      </c>
      <c r="D6" s="30" t="s">
        <v>11</v>
      </c>
      <c r="E6" s="31">
        <f t="shared" ref="E6:E29" si="2">C6</f>
        <v>0</v>
      </c>
      <c r="F6" s="29">
        <v>1</v>
      </c>
      <c r="G6" s="45" t="str">
        <f t="shared" si="0"/>
        <v>Place Order</v>
      </c>
      <c r="H6" s="46"/>
      <c r="I6" s="30" t="s">
        <v>11</v>
      </c>
      <c r="J6" s="29">
        <v>2</v>
      </c>
      <c r="K6" s="29"/>
      <c r="L6" s="32"/>
      <c r="M6" s="30" t="s">
        <v>11</v>
      </c>
      <c r="N6" s="29">
        <v>2</v>
      </c>
      <c r="O6" s="28"/>
    </row>
    <row r="7" spans="3:15" ht="19.899999999999999" customHeight="1" x14ac:dyDescent="0.25">
      <c r="C7" s="29">
        <v>6</v>
      </c>
      <c r="D7" s="30" t="s">
        <v>12</v>
      </c>
      <c r="E7" s="31">
        <f>C7+J7-N7</f>
        <v>6</v>
      </c>
      <c r="F7" s="29">
        <v>1</v>
      </c>
      <c r="G7" s="45" t="str">
        <f t="shared" si="0"/>
        <v/>
      </c>
      <c r="H7" s="46"/>
      <c r="I7" s="30" t="s">
        <v>12</v>
      </c>
      <c r="J7" s="29">
        <v>0</v>
      </c>
      <c r="K7" s="29"/>
      <c r="L7" s="32"/>
      <c r="M7" s="30" t="s">
        <v>12</v>
      </c>
      <c r="N7" s="29">
        <v>0</v>
      </c>
      <c r="O7" s="28"/>
    </row>
    <row r="8" spans="3:15" ht="19.899999999999999" customHeight="1" x14ac:dyDescent="0.25">
      <c r="C8" s="29">
        <v>1</v>
      </c>
      <c r="D8" s="28" t="s">
        <v>99</v>
      </c>
      <c r="E8" s="31">
        <v>1</v>
      </c>
      <c r="F8" s="29">
        <v>1</v>
      </c>
      <c r="G8" s="45" t="str">
        <f t="shared" si="0"/>
        <v/>
      </c>
      <c r="H8" s="46"/>
      <c r="I8" s="28" t="s">
        <v>99</v>
      </c>
      <c r="J8" s="29">
        <v>0</v>
      </c>
      <c r="K8" s="29"/>
      <c r="L8" s="32"/>
      <c r="M8" s="28" t="s">
        <v>99</v>
      </c>
      <c r="N8" s="29">
        <v>0</v>
      </c>
      <c r="O8" s="28"/>
    </row>
    <row r="9" spans="3:15" ht="19.899999999999999" customHeight="1" x14ac:dyDescent="0.25">
      <c r="C9" s="29">
        <v>0</v>
      </c>
      <c r="D9" s="30" t="s">
        <v>23</v>
      </c>
      <c r="E9" s="31">
        <v>0</v>
      </c>
      <c r="F9" s="29">
        <v>3</v>
      </c>
      <c r="G9" s="45" t="str">
        <f t="shared" si="0"/>
        <v>Place Order</v>
      </c>
      <c r="H9" s="46"/>
      <c r="I9" s="30" t="s">
        <v>23</v>
      </c>
      <c r="J9" s="29">
        <v>2</v>
      </c>
      <c r="K9" s="29"/>
      <c r="L9" s="32"/>
      <c r="M9" s="30" t="s">
        <v>23</v>
      </c>
      <c r="N9" s="29">
        <v>2</v>
      </c>
      <c r="O9" s="28"/>
    </row>
    <row r="10" spans="3:15" ht="19.899999999999999" customHeight="1" x14ac:dyDescent="0.25">
      <c r="C10" s="29">
        <v>5</v>
      </c>
      <c r="D10" s="30" t="s">
        <v>162</v>
      </c>
      <c r="E10" s="31">
        <v>6</v>
      </c>
      <c r="F10" s="29">
        <v>2</v>
      </c>
      <c r="G10" s="45" t="str">
        <f t="shared" si="0"/>
        <v/>
      </c>
      <c r="H10" s="46"/>
      <c r="I10" s="30" t="s">
        <v>162</v>
      </c>
      <c r="J10" s="29">
        <v>3</v>
      </c>
      <c r="K10" s="29"/>
      <c r="L10" s="32"/>
      <c r="M10" s="30" t="s">
        <v>162</v>
      </c>
      <c r="N10" s="29">
        <v>2</v>
      </c>
      <c r="O10" s="28"/>
    </row>
    <row r="11" spans="3:15" ht="19.899999999999999" customHeight="1" x14ac:dyDescent="0.25">
      <c r="C11" s="29">
        <v>5</v>
      </c>
      <c r="D11" s="30" t="s">
        <v>147</v>
      </c>
      <c r="E11" s="31">
        <v>7</v>
      </c>
      <c r="F11" s="29">
        <v>0</v>
      </c>
      <c r="G11" s="45">
        <f>+'Janitorial Items'!N10</f>
        <v>2</v>
      </c>
      <c r="H11" s="46"/>
      <c r="I11" s="30" t="s">
        <v>147</v>
      </c>
      <c r="J11" s="29">
        <v>6</v>
      </c>
      <c r="K11" s="29"/>
      <c r="L11" s="32"/>
      <c r="M11" s="30" t="s">
        <v>147</v>
      </c>
      <c r="N11" s="29">
        <v>4</v>
      </c>
      <c r="O11" s="28"/>
    </row>
    <row r="12" spans="3:15" ht="19.899999999999999" customHeight="1" x14ac:dyDescent="0.25">
      <c r="C12" s="29">
        <f t="shared" si="1"/>
        <v>0</v>
      </c>
      <c r="D12" s="30" t="s">
        <v>24</v>
      </c>
      <c r="E12" s="31">
        <f t="shared" si="2"/>
        <v>0</v>
      </c>
      <c r="F12" s="29">
        <v>0</v>
      </c>
      <c r="G12" s="45" t="str">
        <f t="shared" si="0"/>
        <v/>
      </c>
      <c r="H12" s="46"/>
      <c r="I12" s="30" t="s">
        <v>24</v>
      </c>
      <c r="J12" s="29">
        <v>0</v>
      </c>
      <c r="K12" s="29"/>
      <c r="L12" s="32"/>
      <c r="M12" s="30" t="s">
        <v>24</v>
      </c>
      <c r="N12" s="29">
        <v>0</v>
      </c>
      <c r="O12" s="28"/>
    </row>
    <row r="13" spans="3:15" ht="19.899999999999999" customHeight="1" x14ac:dyDescent="0.25">
      <c r="C13" s="29">
        <f t="shared" si="1"/>
        <v>0</v>
      </c>
      <c r="D13" s="30" t="s">
        <v>146</v>
      </c>
      <c r="E13" s="31">
        <f t="shared" si="2"/>
        <v>0</v>
      </c>
      <c r="F13" s="29">
        <v>1</v>
      </c>
      <c r="G13" s="45" t="str">
        <f t="shared" si="0"/>
        <v>Place Order</v>
      </c>
      <c r="H13" s="46"/>
      <c r="I13" s="30" t="s">
        <v>146</v>
      </c>
      <c r="J13" s="29">
        <v>0</v>
      </c>
      <c r="K13" s="29"/>
      <c r="L13" s="32"/>
      <c r="M13" s="30" t="s">
        <v>95</v>
      </c>
      <c r="N13" s="29">
        <v>0</v>
      </c>
      <c r="O13" s="28"/>
    </row>
    <row r="14" spans="3:15" ht="19.899999999999999" customHeight="1" x14ac:dyDescent="0.25">
      <c r="C14" s="29">
        <v>4</v>
      </c>
      <c r="D14" s="30" t="s">
        <v>164</v>
      </c>
      <c r="E14" s="31">
        <v>4</v>
      </c>
      <c r="F14" s="29">
        <v>4</v>
      </c>
      <c r="G14" s="45" t="str">
        <f t="shared" si="0"/>
        <v/>
      </c>
      <c r="H14" s="46"/>
      <c r="I14" s="30" t="s">
        <v>163</v>
      </c>
      <c r="J14" s="29">
        <v>3</v>
      </c>
      <c r="K14" s="29"/>
      <c r="L14" s="32"/>
      <c r="M14" s="30" t="s">
        <v>163</v>
      </c>
      <c r="N14" s="29">
        <v>3</v>
      </c>
      <c r="O14" s="28"/>
    </row>
    <row r="15" spans="3:15" ht="19.899999999999999" customHeight="1" x14ac:dyDescent="0.25">
      <c r="C15" s="29">
        <v>8</v>
      </c>
      <c r="D15" s="30" t="s">
        <v>129</v>
      </c>
      <c r="E15" s="31">
        <v>8</v>
      </c>
      <c r="F15" s="29">
        <v>1</v>
      </c>
      <c r="G15" s="45" t="str">
        <f t="shared" si="0"/>
        <v/>
      </c>
      <c r="H15" s="46"/>
      <c r="I15" s="30" t="s">
        <v>129</v>
      </c>
      <c r="J15" s="29">
        <v>3</v>
      </c>
      <c r="K15" s="29"/>
      <c r="L15" s="32"/>
      <c r="M15" s="30" t="s">
        <v>129</v>
      </c>
      <c r="N15" s="29">
        <v>3</v>
      </c>
      <c r="O15" s="28"/>
    </row>
    <row r="16" spans="3:15" ht="19.899999999999999" customHeight="1" x14ac:dyDescent="0.25">
      <c r="C16" s="29">
        <v>4</v>
      </c>
      <c r="D16" s="30" t="s">
        <v>13</v>
      </c>
      <c r="E16" s="31">
        <f t="shared" si="2"/>
        <v>4</v>
      </c>
      <c r="F16" s="29">
        <v>1</v>
      </c>
      <c r="G16" s="45" t="str">
        <f t="shared" si="0"/>
        <v/>
      </c>
      <c r="H16" s="46"/>
      <c r="I16" s="30" t="s">
        <v>13</v>
      </c>
      <c r="J16" s="29">
        <v>0</v>
      </c>
      <c r="K16" s="29"/>
      <c r="L16" s="32"/>
      <c r="M16" s="30" t="s">
        <v>13</v>
      </c>
      <c r="N16" s="29">
        <v>0</v>
      </c>
      <c r="O16" s="28"/>
    </row>
    <row r="17" spans="3:15" ht="19.899999999999999" customHeight="1" x14ac:dyDescent="0.25">
      <c r="C17" s="29">
        <v>3</v>
      </c>
      <c r="D17" s="30" t="s">
        <v>14</v>
      </c>
      <c r="E17" s="31">
        <v>3</v>
      </c>
      <c r="F17" s="29">
        <v>1</v>
      </c>
      <c r="G17" s="45" t="str">
        <f t="shared" si="0"/>
        <v/>
      </c>
      <c r="H17" s="46"/>
      <c r="I17" s="30" t="s">
        <v>14</v>
      </c>
      <c r="J17" s="29">
        <v>0</v>
      </c>
      <c r="K17" s="29"/>
      <c r="L17" s="32"/>
      <c r="M17" s="30" t="s">
        <v>14</v>
      </c>
      <c r="N17" s="29">
        <v>0</v>
      </c>
      <c r="O17" s="28"/>
    </row>
    <row r="18" spans="3:15" ht="19.899999999999999" customHeight="1" x14ac:dyDescent="0.25">
      <c r="C18" s="29">
        <v>1</v>
      </c>
      <c r="D18" s="30" t="s">
        <v>15</v>
      </c>
      <c r="E18" s="31">
        <f t="shared" si="2"/>
        <v>1</v>
      </c>
      <c r="F18" s="29">
        <v>1</v>
      </c>
      <c r="G18" s="45" t="str">
        <f t="shared" si="0"/>
        <v/>
      </c>
      <c r="H18" s="46"/>
      <c r="I18" s="30" t="s">
        <v>15</v>
      </c>
      <c r="J18" s="29">
        <v>0</v>
      </c>
      <c r="K18" s="29"/>
      <c r="L18" s="32"/>
      <c r="M18" s="30" t="s">
        <v>15</v>
      </c>
      <c r="N18" s="29">
        <v>0</v>
      </c>
      <c r="O18" s="28"/>
    </row>
    <row r="19" spans="3:15" ht="19.899999999999999" customHeight="1" x14ac:dyDescent="0.25">
      <c r="C19" s="29">
        <v>1</v>
      </c>
      <c r="D19" s="30" t="s">
        <v>16</v>
      </c>
      <c r="E19" s="31">
        <v>1</v>
      </c>
      <c r="F19" s="29">
        <v>1</v>
      </c>
      <c r="G19" s="45" t="str">
        <f t="shared" si="0"/>
        <v/>
      </c>
      <c r="H19" s="46"/>
      <c r="I19" s="30" t="s">
        <v>16</v>
      </c>
      <c r="J19" s="29">
        <v>2</v>
      </c>
      <c r="K19" s="29"/>
      <c r="L19" s="32"/>
      <c r="M19" s="30" t="s">
        <v>16</v>
      </c>
      <c r="N19" s="29">
        <v>2</v>
      </c>
      <c r="O19" s="28"/>
    </row>
    <row r="20" spans="3:15" ht="19.899999999999999" customHeight="1" x14ac:dyDescent="0.25">
      <c r="C20" s="29">
        <v>3</v>
      </c>
      <c r="D20" s="30" t="s">
        <v>25</v>
      </c>
      <c r="E20" s="31">
        <v>5</v>
      </c>
      <c r="F20" s="29">
        <v>3</v>
      </c>
      <c r="G20" s="45" t="str">
        <f t="shared" si="0"/>
        <v/>
      </c>
      <c r="H20" s="46"/>
      <c r="I20" s="30" t="s">
        <v>25</v>
      </c>
      <c r="J20" s="29">
        <v>4</v>
      </c>
      <c r="K20" s="29"/>
      <c r="L20" s="32"/>
      <c r="M20" s="30" t="s">
        <v>25</v>
      </c>
      <c r="N20" s="29">
        <v>2</v>
      </c>
      <c r="O20" s="28"/>
    </row>
    <row r="21" spans="3:15" ht="19.899999999999999" customHeight="1" x14ac:dyDescent="0.25">
      <c r="C21" s="29">
        <v>0</v>
      </c>
      <c r="D21" s="30" t="s">
        <v>26</v>
      </c>
      <c r="E21" s="31">
        <v>0</v>
      </c>
      <c r="F21" s="29">
        <v>2</v>
      </c>
      <c r="G21" s="45" t="str">
        <f t="shared" si="0"/>
        <v>Place Order</v>
      </c>
      <c r="H21" s="46"/>
      <c r="I21" s="30" t="s">
        <v>26</v>
      </c>
      <c r="J21" s="29">
        <v>0</v>
      </c>
      <c r="K21" s="29"/>
      <c r="L21" s="32"/>
      <c r="M21" s="30" t="s">
        <v>26</v>
      </c>
      <c r="N21" s="29">
        <v>0</v>
      </c>
      <c r="O21" s="28"/>
    </row>
    <row r="22" spans="3:15" ht="19.899999999999999" customHeight="1" x14ac:dyDescent="0.25">
      <c r="C22" s="29">
        <v>0</v>
      </c>
      <c r="D22" s="30" t="s">
        <v>96</v>
      </c>
      <c r="E22" s="31">
        <v>0</v>
      </c>
      <c r="F22" s="29">
        <v>1</v>
      </c>
      <c r="G22" s="45" t="str">
        <f t="shared" si="0"/>
        <v>Place Order</v>
      </c>
      <c r="H22" s="46"/>
      <c r="I22" s="30" t="s">
        <v>96</v>
      </c>
      <c r="J22" s="29">
        <v>1</v>
      </c>
      <c r="K22" s="29"/>
      <c r="L22" s="32"/>
      <c r="M22" s="30" t="s">
        <v>96</v>
      </c>
      <c r="N22" s="29">
        <v>1</v>
      </c>
      <c r="O22" s="28"/>
    </row>
    <row r="23" spans="3:15" ht="19.899999999999999" customHeight="1" x14ac:dyDescent="0.25">
      <c r="C23" s="29">
        <f t="shared" si="1"/>
        <v>0</v>
      </c>
      <c r="D23" s="30" t="s">
        <v>27</v>
      </c>
      <c r="E23" s="31">
        <f t="shared" si="2"/>
        <v>0</v>
      </c>
      <c r="F23" s="29">
        <v>2</v>
      </c>
      <c r="G23" s="45" t="str">
        <f t="shared" si="0"/>
        <v>Place Order</v>
      </c>
      <c r="H23" s="46"/>
      <c r="I23" s="30" t="s">
        <v>27</v>
      </c>
      <c r="J23" s="29">
        <v>2</v>
      </c>
      <c r="K23" s="29"/>
      <c r="L23" s="32"/>
      <c r="M23" s="30" t="s">
        <v>27</v>
      </c>
      <c r="N23" s="29">
        <v>2</v>
      </c>
      <c r="O23" s="28"/>
    </row>
    <row r="24" spans="3:15" ht="19.899999999999999" customHeight="1" x14ac:dyDescent="0.25">
      <c r="C24" s="49">
        <v>14</v>
      </c>
      <c r="D24" s="30" t="s">
        <v>17</v>
      </c>
      <c r="E24" s="31">
        <v>13</v>
      </c>
      <c r="F24" s="29">
        <v>4</v>
      </c>
      <c r="G24" s="45" t="str">
        <f t="shared" si="0"/>
        <v/>
      </c>
      <c r="H24" s="46"/>
      <c r="I24" s="30" t="s">
        <v>17</v>
      </c>
      <c r="J24" s="29">
        <v>0</v>
      </c>
      <c r="K24" s="29"/>
      <c r="L24" s="32"/>
      <c r="M24" s="30" t="s">
        <v>17</v>
      </c>
      <c r="N24" s="29">
        <v>1</v>
      </c>
      <c r="O24" s="28"/>
    </row>
    <row r="25" spans="3:15" ht="19.899999999999999" customHeight="1" x14ac:dyDescent="0.25">
      <c r="C25" s="29">
        <v>0</v>
      </c>
      <c r="D25" s="30" t="s">
        <v>97</v>
      </c>
      <c r="E25" s="31">
        <v>0</v>
      </c>
      <c r="F25" s="29">
        <v>2</v>
      </c>
      <c r="G25" s="45" t="str">
        <f t="shared" si="0"/>
        <v>Place Order</v>
      </c>
      <c r="H25" s="46"/>
      <c r="I25" s="30" t="s">
        <v>97</v>
      </c>
      <c r="J25" s="29">
        <v>0</v>
      </c>
      <c r="K25" s="29"/>
      <c r="L25" s="32"/>
      <c r="M25" s="30" t="s">
        <v>97</v>
      </c>
      <c r="N25" s="29">
        <v>0</v>
      </c>
      <c r="O25" s="28"/>
    </row>
    <row r="26" spans="3:15" ht="19.899999999999999" customHeight="1" x14ac:dyDescent="0.25">
      <c r="C26" s="29">
        <f t="shared" si="1"/>
        <v>0</v>
      </c>
      <c r="D26" s="30" t="s">
        <v>18</v>
      </c>
      <c r="E26" s="31">
        <f t="shared" si="2"/>
        <v>0</v>
      </c>
      <c r="F26" s="29">
        <v>150</v>
      </c>
      <c r="G26" s="45" t="str">
        <f t="shared" si="0"/>
        <v>Place Order</v>
      </c>
      <c r="H26" s="46"/>
      <c r="I26" s="30" t="s">
        <v>18</v>
      </c>
      <c r="J26" s="29">
        <v>0</v>
      </c>
      <c r="K26" s="29"/>
      <c r="L26" s="32"/>
      <c r="M26" s="30" t="s">
        <v>18</v>
      </c>
      <c r="N26" s="29">
        <v>0</v>
      </c>
      <c r="O26" s="28"/>
    </row>
    <row r="27" spans="3:15" ht="19.899999999999999" customHeight="1" x14ac:dyDescent="0.25">
      <c r="C27" s="29">
        <v>5</v>
      </c>
      <c r="D27" s="30" t="s">
        <v>28</v>
      </c>
      <c r="E27" s="31">
        <v>7</v>
      </c>
      <c r="F27" s="29">
        <v>10</v>
      </c>
      <c r="G27" s="45" t="str">
        <f t="shared" si="0"/>
        <v>Place Order</v>
      </c>
      <c r="H27" s="46"/>
      <c r="I27" s="30" t="s">
        <v>28</v>
      </c>
      <c r="J27" s="29">
        <v>10</v>
      </c>
      <c r="K27" s="29"/>
      <c r="L27" s="32"/>
      <c r="M27" s="30" t="s">
        <v>28</v>
      </c>
      <c r="N27" s="29">
        <v>8</v>
      </c>
      <c r="O27" s="28"/>
    </row>
    <row r="28" spans="3:15" ht="19.899999999999999" customHeight="1" x14ac:dyDescent="0.25">
      <c r="C28" s="29">
        <v>114</v>
      </c>
      <c r="D28" s="30" t="s">
        <v>29</v>
      </c>
      <c r="E28" s="31">
        <v>154</v>
      </c>
      <c r="F28" s="29">
        <v>100</v>
      </c>
      <c r="G28" s="45" t="str">
        <f t="shared" si="0"/>
        <v/>
      </c>
      <c r="H28" s="46"/>
      <c r="I28" s="30" t="s">
        <v>29</v>
      </c>
      <c r="J28" s="29">
        <v>150</v>
      </c>
      <c r="K28" s="29"/>
      <c r="L28" s="32"/>
      <c r="M28" s="30" t="s">
        <v>29</v>
      </c>
      <c r="N28" s="29">
        <v>110</v>
      </c>
      <c r="O28" s="28"/>
    </row>
    <row r="29" spans="3:15" ht="19.899999999999999" customHeight="1" x14ac:dyDescent="0.25">
      <c r="C29" s="29">
        <f t="shared" si="1"/>
        <v>0</v>
      </c>
      <c r="D29" s="30" t="s">
        <v>19</v>
      </c>
      <c r="E29" s="31">
        <f t="shared" si="2"/>
        <v>0</v>
      </c>
      <c r="F29" s="29">
        <v>1</v>
      </c>
      <c r="G29" s="45" t="str">
        <f t="shared" si="0"/>
        <v>Place Order</v>
      </c>
      <c r="H29" s="46"/>
      <c r="I29" s="30" t="s">
        <v>19</v>
      </c>
      <c r="J29" s="29">
        <v>0</v>
      </c>
      <c r="K29" s="29"/>
      <c r="L29" s="32"/>
      <c r="M29" s="30" t="s">
        <v>19</v>
      </c>
      <c r="N29" s="29">
        <v>0</v>
      </c>
      <c r="O29" s="28"/>
    </row>
    <row r="30" spans="3:15" ht="19.899999999999999" customHeight="1" x14ac:dyDescent="0.25">
      <c r="C30" s="29">
        <v>0</v>
      </c>
      <c r="D30" s="30" t="s">
        <v>20</v>
      </c>
      <c r="E30" s="31">
        <v>0</v>
      </c>
      <c r="F30" s="29">
        <v>1</v>
      </c>
      <c r="G30" s="45" t="str">
        <f t="shared" si="0"/>
        <v>Place Order</v>
      </c>
      <c r="H30" s="46"/>
      <c r="I30" s="30" t="s">
        <v>20</v>
      </c>
      <c r="J30" s="29">
        <v>0</v>
      </c>
      <c r="K30" s="29"/>
      <c r="L30" s="32"/>
      <c r="M30" s="30" t="s">
        <v>20</v>
      </c>
      <c r="N30" s="29">
        <v>0</v>
      </c>
      <c r="O30" s="28"/>
    </row>
    <row r="31" spans="3:15" ht="19.899999999999999" customHeight="1" x14ac:dyDescent="0.25">
      <c r="C31" s="29">
        <v>1</v>
      </c>
      <c r="D31" s="30" t="s">
        <v>172</v>
      </c>
      <c r="E31" s="31">
        <v>3</v>
      </c>
      <c r="F31" s="29">
        <v>2</v>
      </c>
      <c r="G31" s="45" t="str">
        <f t="shared" si="0"/>
        <v/>
      </c>
      <c r="H31" s="46"/>
      <c r="I31" s="30" t="s">
        <v>158</v>
      </c>
      <c r="J31" s="29">
        <v>4</v>
      </c>
      <c r="K31" s="29"/>
      <c r="L31" s="32"/>
      <c r="M31" s="30" t="s">
        <v>158</v>
      </c>
      <c r="N31" s="29">
        <v>2</v>
      </c>
      <c r="O31" s="28"/>
    </row>
    <row r="32" spans="3:15" ht="19.899999999999999" customHeight="1" x14ac:dyDescent="0.25">
      <c r="C32" s="29">
        <v>6</v>
      </c>
      <c r="D32" s="30" t="s">
        <v>154</v>
      </c>
      <c r="E32" s="31">
        <v>7</v>
      </c>
      <c r="F32" s="29">
        <v>1</v>
      </c>
      <c r="G32" s="45" t="str">
        <f t="shared" si="0"/>
        <v/>
      </c>
      <c r="H32" s="46"/>
      <c r="I32" s="30" t="s">
        <v>154</v>
      </c>
      <c r="J32" s="29">
        <v>5</v>
      </c>
      <c r="K32" s="29"/>
      <c r="L32" s="32"/>
      <c r="M32" s="30" t="s">
        <v>154</v>
      </c>
      <c r="N32" s="29">
        <v>4</v>
      </c>
      <c r="O32" s="28"/>
    </row>
    <row r="33" spans="3:15" ht="19.899999999999999" customHeight="1" x14ac:dyDescent="0.25">
      <c r="C33" s="29">
        <v>3</v>
      </c>
      <c r="D33" s="30" t="s">
        <v>173</v>
      </c>
      <c r="E33" s="31">
        <v>5</v>
      </c>
      <c r="F33" s="29"/>
      <c r="G33" s="45"/>
      <c r="H33" s="46"/>
      <c r="I33" s="30" t="s">
        <v>173</v>
      </c>
      <c r="J33" s="29">
        <v>5</v>
      </c>
      <c r="K33" s="29"/>
      <c r="L33" s="32"/>
      <c r="M33" s="30" t="s">
        <v>173</v>
      </c>
      <c r="N33" s="29">
        <v>3</v>
      </c>
      <c r="O33" s="28"/>
    </row>
    <row r="34" spans="3:15" ht="19.899999999999999" customHeight="1" x14ac:dyDescent="0.25">
      <c r="C34" s="29">
        <f t="shared" si="1"/>
        <v>0</v>
      </c>
      <c r="D34" s="30" t="s">
        <v>98</v>
      </c>
      <c r="E34" s="31">
        <v>0</v>
      </c>
      <c r="F34" s="29">
        <v>1</v>
      </c>
      <c r="G34" s="45" t="str">
        <f t="shared" si="0"/>
        <v>Place Order</v>
      </c>
      <c r="H34" s="46"/>
      <c r="I34" s="30" t="s">
        <v>98</v>
      </c>
      <c r="J34" s="29">
        <v>0</v>
      </c>
      <c r="K34" s="29"/>
      <c r="L34" s="32"/>
      <c r="M34" s="30" t="s">
        <v>98</v>
      </c>
      <c r="N34" s="29">
        <v>0</v>
      </c>
      <c r="O34" s="28"/>
    </row>
    <row r="35" spans="3:15" ht="19.899999999999999" customHeight="1" x14ac:dyDescent="0.25">
      <c r="C35" s="29">
        <v>0</v>
      </c>
      <c r="D35" s="30" t="s">
        <v>21</v>
      </c>
      <c r="E35" s="31">
        <v>0</v>
      </c>
      <c r="F35" s="29">
        <v>3</v>
      </c>
      <c r="G35" s="45" t="str">
        <f t="shared" si="0"/>
        <v>Place Order</v>
      </c>
      <c r="H35" s="46"/>
      <c r="I35" s="30" t="s">
        <v>21</v>
      </c>
      <c r="J35" s="29">
        <v>1</v>
      </c>
      <c r="K35" s="29"/>
      <c r="L35" s="32"/>
      <c r="M35" s="30" t="s">
        <v>21</v>
      </c>
      <c r="N35" s="29">
        <v>1</v>
      </c>
      <c r="O35" s="28"/>
    </row>
    <row r="36" spans="3:15" ht="19.899999999999999" customHeight="1" x14ac:dyDescent="0.25">
      <c r="C36" s="29">
        <v>1</v>
      </c>
      <c r="D36" s="30" t="s">
        <v>159</v>
      </c>
      <c r="E36" s="31">
        <v>1</v>
      </c>
      <c r="F36" s="29">
        <v>1</v>
      </c>
      <c r="G36" s="45" t="str">
        <f t="shared" si="0"/>
        <v/>
      </c>
      <c r="H36" s="46"/>
      <c r="I36" s="30" t="s">
        <v>159</v>
      </c>
      <c r="J36" s="29">
        <v>0</v>
      </c>
      <c r="K36" s="29"/>
      <c r="L36" s="32"/>
      <c r="M36" s="30" t="s">
        <v>159</v>
      </c>
      <c r="N36" s="29">
        <v>0</v>
      </c>
      <c r="O36" s="28"/>
    </row>
    <row r="37" spans="3:15" ht="19.899999999999999" customHeight="1" x14ac:dyDescent="0.25">
      <c r="C37" s="29">
        <v>1</v>
      </c>
      <c r="D37" s="30" t="s">
        <v>160</v>
      </c>
      <c r="E37" s="31">
        <v>1</v>
      </c>
      <c r="F37" s="29">
        <v>1</v>
      </c>
      <c r="G37" s="45"/>
      <c r="H37" s="46"/>
      <c r="I37" s="30" t="s">
        <v>160</v>
      </c>
      <c r="J37" s="29">
        <v>2</v>
      </c>
      <c r="K37" s="29"/>
      <c r="L37" s="32"/>
      <c r="M37" s="30" t="s">
        <v>160</v>
      </c>
      <c r="N37" s="29">
        <v>2</v>
      </c>
      <c r="O37" s="28"/>
    </row>
    <row r="38" spans="3:15" ht="33" customHeight="1" x14ac:dyDescent="0.25">
      <c r="C38" s="29">
        <v>0</v>
      </c>
      <c r="D38" s="44" t="s">
        <v>165</v>
      </c>
      <c r="E38" s="31">
        <v>0</v>
      </c>
      <c r="F38" s="29">
        <v>1</v>
      </c>
      <c r="G38" s="45"/>
      <c r="H38" s="46"/>
      <c r="I38" s="44" t="s">
        <v>166</v>
      </c>
      <c r="J38" s="29">
        <v>1</v>
      </c>
      <c r="K38" s="29"/>
      <c r="L38" s="32"/>
      <c r="M38" s="44" t="s">
        <v>161</v>
      </c>
      <c r="N38" s="29">
        <v>1</v>
      </c>
      <c r="O38" s="28"/>
    </row>
    <row r="39" spans="3:15" ht="19.899999999999999" customHeight="1" x14ac:dyDescent="0.25">
      <c r="C39" s="29">
        <v>2</v>
      </c>
      <c r="D39" s="30" t="s">
        <v>22</v>
      </c>
      <c r="E39" s="31">
        <v>2</v>
      </c>
      <c r="F39" s="29">
        <v>2</v>
      </c>
      <c r="G39" s="45" t="str">
        <f t="shared" si="0"/>
        <v/>
      </c>
      <c r="H39" s="46"/>
      <c r="I39" s="30" t="s">
        <v>22</v>
      </c>
      <c r="J39" s="29">
        <v>0</v>
      </c>
      <c r="K39" s="29"/>
      <c r="L39" s="32"/>
      <c r="M39" s="30" t="s">
        <v>22</v>
      </c>
      <c r="N39" s="29">
        <v>0</v>
      </c>
      <c r="O39" s="28"/>
    </row>
    <row r="45" spans="3:15" x14ac:dyDescent="0.25">
      <c r="D45" t="s">
        <v>118</v>
      </c>
      <c r="F45" s="52" t="s">
        <v>118</v>
      </c>
      <c r="G45" s="52"/>
      <c r="I45" t="s">
        <v>118</v>
      </c>
      <c r="M45" t="s">
        <v>118</v>
      </c>
    </row>
    <row r="46" spans="3:15" x14ac:dyDescent="0.25">
      <c r="D46" t="s">
        <v>115</v>
      </c>
      <c r="F46" s="52" t="s">
        <v>122</v>
      </c>
      <c r="G46" s="52"/>
      <c r="I46" t="s">
        <v>114</v>
      </c>
      <c r="M46" t="s">
        <v>125</v>
      </c>
    </row>
    <row r="47" spans="3:15" x14ac:dyDescent="0.25">
      <c r="D47" t="s">
        <v>126</v>
      </c>
      <c r="F47" s="52" t="s">
        <v>116</v>
      </c>
      <c r="G47" s="52"/>
      <c r="I47" t="s">
        <v>119</v>
      </c>
      <c r="M47" t="s">
        <v>149</v>
      </c>
    </row>
    <row r="48" spans="3:15" x14ac:dyDescent="0.25">
      <c r="D48" t="s">
        <v>127</v>
      </c>
      <c r="F48" s="52" t="s">
        <v>117</v>
      </c>
      <c r="G48" s="52"/>
      <c r="I48" t="s">
        <v>120</v>
      </c>
      <c r="M48" t="s">
        <v>121</v>
      </c>
    </row>
  </sheetData>
  <mergeCells count="12">
    <mergeCell ref="F46:G46"/>
    <mergeCell ref="F47:G47"/>
    <mergeCell ref="F45:G45"/>
    <mergeCell ref="F48:G48"/>
    <mergeCell ref="C1:O1"/>
    <mergeCell ref="C2:O2"/>
    <mergeCell ref="C3:C4"/>
    <mergeCell ref="D3:E3"/>
    <mergeCell ref="F3:F4"/>
    <mergeCell ref="G3:G4"/>
    <mergeCell ref="H3:K3"/>
    <mergeCell ref="L3:O3"/>
  </mergeCells>
  <conditionalFormatting sqref="D5">
    <cfRule type="duplicateValues" dxfId="64" priority="34"/>
  </conditionalFormatting>
  <conditionalFormatting sqref="D6:D7 D9:D39">
    <cfRule type="duplicateValues" dxfId="63" priority="40"/>
  </conditionalFormatting>
  <conditionalFormatting sqref="D10:D11">
    <cfRule type="duplicateValues" dxfId="62" priority="35"/>
  </conditionalFormatting>
  <conditionalFormatting sqref="G5:G39">
    <cfRule type="containsText" dxfId="61" priority="36" operator="containsText" text="Place Order">
      <formula>NOT(ISERROR(SEARCH("Place Order",G5)))</formula>
    </cfRule>
    <cfRule type="containsText" dxfId="60" priority="37" operator="containsText" text="Place Order">
      <formula>NOT(ISERROR(SEARCH("Place Order",G5)))</formula>
    </cfRule>
    <cfRule type="containsText" dxfId="59" priority="38" operator="containsText" text="Place Order">
      <formula>NOT(ISERROR(SEARCH("Place Order",G5)))</formula>
    </cfRule>
  </conditionalFormatting>
  <conditionalFormatting sqref="I5">
    <cfRule type="duplicateValues" dxfId="58" priority="30"/>
  </conditionalFormatting>
  <conditionalFormatting sqref="I6:I7 I14:I30 I9:I10 I12 I32 I39 I34:I35">
    <cfRule type="duplicateValues" dxfId="57" priority="33"/>
  </conditionalFormatting>
  <conditionalFormatting sqref="I10">
    <cfRule type="duplicateValues" dxfId="56" priority="31"/>
  </conditionalFormatting>
  <conditionalFormatting sqref="I11">
    <cfRule type="duplicateValues" dxfId="55" priority="20"/>
    <cfRule type="duplicateValues" dxfId="54" priority="21"/>
  </conditionalFormatting>
  <conditionalFormatting sqref="I13">
    <cfRule type="duplicateValues" dxfId="53" priority="24"/>
  </conditionalFormatting>
  <conditionalFormatting sqref="I31">
    <cfRule type="duplicateValues" dxfId="52" priority="15"/>
  </conditionalFormatting>
  <conditionalFormatting sqref="I33">
    <cfRule type="duplicateValues" dxfId="51" priority="2"/>
  </conditionalFormatting>
  <conditionalFormatting sqref="I36">
    <cfRule type="duplicateValues" dxfId="50" priority="11"/>
  </conditionalFormatting>
  <conditionalFormatting sqref="I37">
    <cfRule type="duplicateValues" dxfId="49" priority="8"/>
  </conditionalFormatting>
  <conditionalFormatting sqref="I38">
    <cfRule type="duplicateValues" dxfId="48" priority="6"/>
  </conditionalFormatting>
  <conditionalFormatting sqref="M5">
    <cfRule type="duplicateValues" dxfId="47" priority="26"/>
  </conditionalFormatting>
  <conditionalFormatting sqref="M6:M7 M9:M10 M12:M30 M32 M39 M34:M35">
    <cfRule type="duplicateValues" dxfId="46" priority="29"/>
  </conditionalFormatting>
  <conditionalFormatting sqref="M10">
    <cfRule type="duplicateValues" dxfId="45" priority="27"/>
  </conditionalFormatting>
  <conditionalFormatting sqref="M11">
    <cfRule type="duplicateValues" dxfId="44" priority="16"/>
    <cfRule type="duplicateValues" dxfId="43" priority="17"/>
  </conditionalFormatting>
  <conditionalFormatting sqref="M31">
    <cfRule type="duplicateValues" dxfId="42" priority="13"/>
  </conditionalFormatting>
  <conditionalFormatting sqref="M33">
    <cfRule type="duplicateValues" dxfId="41" priority="1"/>
  </conditionalFormatting>
  <conditionalFormatting sqref="M36">
    <cfRule type="duplicateValues" dxfId="40" priority="9"/>
  </conditionalFormatting>
  <conditionalFormatting sqref="M37">
    <cfRule type="duplicateValues" dxfId="39" priority="7"/>
  </conditionalFormatting>
  <conditionalFormatting sqref="M38">
    <cfRule type="duplicateValues" dxfId="38" priority="4"/>
  </conditionalFormatting>
  <dataValidations count="1">
    <dataValidation type="list" allowBlank="1" showInputMessage="1" showErrorMessage="1" sqref="D5:D39 I5:I39 M5:M39" xr:uid="{B1B35657-E088-475F-89D4-E2EACB49E617}">
      <formula1>$D$5:$D$39</formula1>
    </dataValidation>
  </dataValidations>
  <pageMargins left="0.70866141732283472" right="0.70866141732283472" top="0.74803149606299213" bottom="0.74803149606299213" header="0.31496062992125984" footer="0.31496062992125984"/>
  <pageSetup paperSize="9" scale="5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AFBA8-8B5D-41CF-A4C1-863008DFD258}">
  <dimension ref="A1:N100"/>
  <sheetViews>
    <sheetView zoomScale="99" zoomScaleNormal="99" workbookViewId="0">
      <pane xSplit="3" ySplit="5" topLeftCell="F73" activePane="bottomRight" state="frozen"/>
      <selection pane="topRight" activeCell="D1" sqref="D1"/>
      <selection pane="bottomLeft" activeCell="A5" sqref="A5"/>
      <selection pane="bottomRight" activeCell="B77" sqref="B77"/>
    </sheetView>
  </sheetViews>
  <sheetFormatPr defaultRowHeight="15" x14ac:dyDescent="0.25"/>
  <cols>
    <col min="1" max="1" width="12.28515625" customWidth="1"/>
    <col min="2" max="2" width="35.28515625" customWidth="1"/>
    <col min="3" max="3" width="16.85546875" bestFit="1" customWidth="1"/>
    <col min="4" max="4" width="25.85546875" bestFit="1" customWidth="1"/>
    <col min="5" max="5" width="18.28515625" customWidth="1"/>
    <col min="6" max="6" width="11.7109375" customWidth="1"/>
    <col min="7" max="7" width="29.7109375" customWidth="1"/>
    <col min="8" max="8" width="8.140625" customWidth="1"/>
    <col min="9" max="9" width="14.7109375" customWidth="1"/>
    <col min="10" max="10" width="13.5703125" customWidth="1"/>
    <col min="11" max="11" width="28.85546875" customWidth="1"/>
    <col min="12" max="12" width="11.28515625" customWidth="1"/>
    <col min="13" max="13" width="21.7109375" customWidth="1"/>
  </cols>
  <sheetData>
    <row r="1" spans="1:13" ht="30.75" hidden="1" customHeight="1" x14ac:dyDescent="0.3">
      <c r="A1" s="53" t="s">
        <v>150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1:13" ht="23.25" customHeight="1" x14ac:dyDescent="0.3">
      <c r="A2" s="53" t="s">
        <v>195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spans="1:13" ht="23.25" customHeight="1" x14ac:dyDescent="0.25">
      <c r="A3" s="67" t="s">
        <v>194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</row>
    <row r="4" spans="1:13" ht="26.25" customHeight="1" x14ac:dyDescent="0.25">
      <c r="A4" s="80" t="s">
        <v>196</v>
      </c>
      <c r="B4" s="70" t="s">
        <v>0</v>
      </c>
      <c r="C4" s="70"/>
      <c r="D4" s="71" t="s">
        <v>1</v>
      </c>
      <c r="E4" s="80" t="s">
        <v>5</v>
      </c>
      <c r="F4" s="82" t="s">
        <v>198</v>
      </c>
      <c r="G4" s="76"/>
      <c r="H4" s="76"/>
      <c r="I4" s="76"/>
      <c r="J4" s="77" t="s">
        <v>156</v>
      </c>
      <c r="K4" s="78"/>
      <c r="L4" s="78"/>
      <c r="M4" s="79"/>
    </row>
    <row r="5" spans="1:13" ht="38.25" customHeight="1" x14ac:dyDescent="0.25">
      <c r="A5" s="81"/>
      <c r="B5" s="9" t="s">
        <v>6</v>
      </c>
      <c r="C5" s="10" t="s">
        <v>197</v>
      </c>
      <c r="D5" s="72"/>
      <c r="E5" s="81"/>
      <c r="F5" s="7"/>
      <c r="G5" s="7" t="s">
        <v>2</v>
      </c>
      <c r="H5" s="7" t="s">
        <v>3</v>
      </c>
      <c r="I5" s="7" t="s">
        <v>4</v>
      </c>
      <c r="J5" s="8"/>
      <c r="K5" s="8" t="s">
        <v>2</v>
      </c>
      <c r="L5" s="8" t="s">
        <v>3</v>
      </c>
      <c r="M5" s="8" t="s">
        <v>4</v>
      </c>
    </row>
    <row r="6" spans="1:13" ht="19.899999999999999" customHeight="1" x14ac:dyDescent="0.25">
      <c r="A6" s="29">
        <v>163</v>
      </c>
      <c r="B6" s="28" t="s">
        <v>78</v>
      </c>
      <c r="C6" s="31">
        <v>144</v>
      </c>
      <c r="D6" s="29">
        <v>25</v>
      </c>
      <c r="E6" s="29" t="str">
        <f t="shared" ref="E6:E34" si="0">IF(C6&lt;D6,"Place Order","")</f>
        <v/>
      </c>
      <c r="F6" s="32"/>
      <c r="G6" s="28" t="s">
        <v>78</v>
      </c>
      <c r="H6" s="29">
        <v>0</v>
      </c>
      <c r="I6" s="29"/>
      <c r="J6" s="32"/>
      <c r="K6" s="28" t="s">
        <v>78</v>
      </c>
      <c r="L6" s="29">
        <v>19</v>
      </c>
      <c r="M6" s="6"/>
    </row>
    <row r="7" spans="1:13" ht="19.899999999999999" customHeight="1" x14ac:dyDescent="0.25">
      <c r="A7" s="29">
        <v>300</v>
      </c>
      <c r="B7" s="28" t="s">
        <v>69</v>
      </c>
      <c r="C7" s="31">
        <v>300</v>
      </c>
      <c r="D7" s="29">
        <v>25</v>
      </c>
      <c r="E7" s="29" t="str">
        <f t="shared" si="0"/>
        <v/>
      </c>
      <c r="F7" s="32"/>
      <c r="G7" s="28" t="s">
        <v>69</v>
      </c>
      <c r="H7" s="29">
        <v>0</v>
      </c>
      <c r="I7" s="29"/>
      <c r="J7" s="32"/>
      <c r="K7" s="28" t="s">
        <v>69</v>
      </c>
      <c r="L7" s="29">
        <v>0</v>
      </c>
      <c r="M7" s="6"/>
    </row>
    <row r="8" spans="1:13" ht="19.899999999999999" customHeight="1" x14ac:dyDescent="0.25">
      <c r="A8" s="29">
        <v>0</v>
      </c>
      <c r="B8" s="28" t="s">
        <v>180</v>
      </c>
      <c r="C8" s="31">
        <f t="shared" ref="C8:C69" si="1">A8+H8-L8</f>
        <v>0</v>
      </c>
      <c r="D8" s="29">
        <v>25</v>
      </c>
      <c r="E8" s="29" t="str">
        <f t="shared" si="0"/>
        <v>Place Order</v>
      </c>
      <c r="F8" s="32"/>
      <c r="G8" s="28" t="s">
        <v>180</v>
      </c>
      <c r="H8" s="29">
        <v>0</v>
      </c>
      <c r="I8" s="29"/>
      <c r="J8" s="32"/>
      <c r="K8" s="28" t="s">
        <v>180</v>
      </c>
      <c r="L8" s="29">
        <v>0</v>
      </c>
      <c r="M8" s="6"/>
    </row>
    <row r="9" spans="1:13" ht="19.899999999999999" customHeight="1" x14ac:dyDescent="0.25">
      <c r="A9" s="29">
        <v>310</v>
      </c>
      <c r="B9" s="28" t="s">
        <v>70</v>
      </c>
      <c r="C9" s="31">
        <f t="shared" si="1"/>
        <v>310</v>
      </c>
      <c r="D9" s="29">
        <v>25</v>
      </c>
      <c r="E9" s="29" t="str">
        <f t="shared" si="0"/>
        <v/>
      </c>
      <c r="F9" s="32"/>
      <c r="G9" s="28" t="s">
        <v>70</v>
      </c>
      <c r="H9" s="29">
        <v>0</v>
      </c>
      <c r="I9" s="29"/>
      <c r="J9" s="32"/>
      <c r="K9" s="28" t="s">
        <v>70</v>
      </c>
      <c r="L9" s="29">
        <v>0</v>
      </c>
      <c r="M9" s="6"/>
    </row>
    <row r="10" spans="1:13" ht="19.899999999999999" customHeight="1" x14ac:dyDescent="0.25">
      <c r="A10" s="29">
        <v>0</v>
      </c>
      <c r="B10" s="28" t="s">
        <v>79</v>
      </c>
      <c r="C10" s="31">
        <f t="shared" si="1"/>
        <v>0</v>
      </c>
      <c r="D10" s="29">
        <v>25</v>
      </c>
      <c r="E10" s="29" t="str">
        <f t="shared" si="0"/>
        <v>Place Order</v>
      </c>
      <c r="F10" s="32"/>
      <c r="G10" s="28" t="s">
        <v>79</v>
      </c>
      <c r="H10" s="29">
        <v>0</v>
      </c>
      <c r="I10" s="29"/>
      <c r="J10" s="32"/>
      <c r="K10" s="28" t="s">
        <v>79</v>
      </c>
      <c r="L10" s="29">
        <v>0</v>
      </c>
      <c r="M10" s="6"/>
    </row>
    <row r="11" spans="1:13" ht="19.899999999999999" customHeight="1" x14ac:dyDescent="0.25">
      <c r="A11" s="29">
        <v>7</v>
      </c>
      <c r="B11" s="28" t="s">
        <v>123</v>
      </c>
      <c r="C11" s="31">
        <v>6</v>
      </c>
      <c r="D11" s="29">
        <v>0</v>
      </c>
      <c r="E11" s="29" t="str">
        <f t="shared" si="0"/>
        <v/>
      </c>
      <c r="F11" s="32"/>
      <c r="G11" s="28" t="s">
        <v>123</v>
      </c>
      <c r="H11" s="29">
        <v>0</v>
      </c>
      <c r="I11" s="29"/>
      <c r="J11" s="32"/>
      <c r="K11" s="28" t="s">
        <v>123</v>
      </c>
      <c r="L11" s="29">
        <v>1</v>
      </c>
      <c r="M11" s="6"/>
    </row>
    <row r="12" spans="1:13" ht="19.899999999999999" customHeight="1" x14ac:dyDescent="0.25">
      <c r="A12" s="29">
        <v>351</v>
      </c>
      <c r="B12" s="28" t="s">
        <v>71</v>
      </c>
      <c r="C12" s="31">
        <v>351</v>
      </c>
      <c r="D12" s="29">
        <v>25</v>
      </c>
      <c r="E12" s="29" t="str">
        <f t="shared" si="0"/>
        <v/>
      </c>
      <c r="F12" s="32"/>
      <c r="G12" s="28" t="s">
        <v>71</v>
      </c>
      <c r="H12" s="29">
        <v>0</v>
      </c>
      <c r="I12" s="29"/>
      <c r="J12" s="32"/>
      <c r="K12" s="28" t="s">
        <v>71</v>
      </c>
      <c r="L12" s="29">
        <v>0</v>
      </c>
      <c r="M12" s="6"/>
    </row>
    <row r="13" spans="1:13" ht="19.899999999999999" customHeight="1" x14ac:dyDescent="0.25">
      <c r="A13" s="29">
        <v>300</v>
      </c>
      <c r="B13" s="28" t="s">
        <v>181</v>
      </c>
      <c r="C13" s="31">
        <f t="shared" si="1"/>
        <v>300</v>
      </c>
      <c r="D13" s="29">
        <v>25</v>
      </c>
      <c r="E13" s="29" t="str">
        <f t="shared" si="0"/>
        <v/>
      </c>
      <c r="F13" s="32"/>
      <c r="G13" s="28" t="s">
        <v>181</v>
      </c>
      <c r="H13" s="29">
        <v>0</v>
      </c>
      <c r="I13" s="29"/>
      <c r="J13" s="32"/>
      <c r="K13" s="28" t="s">
        <v>181</v>
      </c>
      <c r="L13" s="29">
        <v>0</v>
      </c>
      <c r="M13" s="6"/>
    </row>
    <row r="14" spans="1:13" ht="19.899999999999999" customHeight="1" x14ac:dyDescent="0.25">
      <c r="A14" s="29">
        <v>0</v>
      </c>
      <c r="B14" s="28" t="s">
        <v>73</v>
      </c>
      <c r="C14" s="31">
        <v>0</v>
      </c>
      <c r="D14" s="29">
        <v>25</v>
      </c>
      <c r="E14" s="29" t="str">
        <f t="shared" si="0"/>
        <v>Place Order</v>
      </c>
      <c r="F14" s="32"/>
      <c r="G14" s="28" t="s">
        <v>73</v>
      </c>
      <c r="H14" s="29">
        <v>0</v>
      </c>
      <c r="I14" s="29"/>
      <c r="J14" s="32"/>
      <c r="K14" s="28" t="s">
        <v>73</v>
      </c>
      <c r="L14" s="29">
        <v>0</v>
      </c>
      <c r="M14" s="6"/>
    </row>
    <row r="15" spans="1:13" ht="19.899999999999999" customHeight="1" x14ac:dyDescent="0.25">
      <c r="A15" s="29">
        <v>6</v>
      </c>
      <c r="B15" s="28" t="s">
        <v>80</v>
      </c>
      <c r="C15" s="31">
        <v>6</v>
      </c>
      <c r="D15" s="29">
        <v>3</v>
      </c>
      <c r="E15" s="29" t="str">
        <f t="shared" si="0"/>
        <v/>
      </c>
      <c r="F15" s="32"/>
      <c r="G15" s="28" t="s">
        <v>80</v>
      </c>
      <c r="H15" s="29">
        <v>0</v>
      </c>
      <c r="I15" s="29"/>
      <c r="J15" s="32"/>
      <c r="K15" s="28" t="s">
        <v>80</v>
      </c>
      <c r="L15" s="29">
        <v>0</v>
      </c>
      <c r="M15" s="6"/>
    </row>
    <row r="16" spans="1:13" ht="19.899999999999999" customHeight="1" x14ac:dyDescent="0.25">
      <c r="A16" s="29">
        <v>0</v>
      </c>
      <c r="B16" s="30" t="s">
        <v>46</v>
      </c>
      <c r="C16" s="31">
        <v>0</v>
      </c>
      <c r="D16" s="29">
        <v>50</v>
      </c>
      <c r="E16" s="29" t="str">
        <f t="shared" si="0"/>
        <v>Place Order</v>
      </c>
      <c r="F16" s="32"/>
      <c r="G16" s="30" t="s">
        <v>46</v>
      </c>
      <c r="H16" s="29">
        <v>0</v>
      </c>
      <c r="I16" s="29"/>
      <c r="J16" s="32"/>
      <c r="K16" s="30" t="s">
        <v>46</v>
      </c>
      <c r="L16" s="29">
        <v>0</v>
      </c>
      <c r="M16" s="6"/>
    </row>
    <row r="17" spans="1:13" ht="19.899999999999999" customHeight="1" x14ac:dyDescent="0.25">
      <c r="A17" s="29">
        <v>40</v>
      </c>
      <c r="B17" s="30" t="s">
        <v>47</v>
      </c>
      <c r="C17" s="31">
        <v>50</v>
      </c>
      <c r="D17" s="29">
        <v>0</v>
      </c>
      <c r="E17" s="29" t="str">
        <f t="shared" si="0"/>
        <v/>
      </c>
      <c r="F17" s="32"/>
      <c r="G17" s="30" t="s">
        <v>47</v>
      </c>
      <c r="H17" s="29">
        <v>20</v>
      </c>
      <c r="I17" s="29"/>
      <c r="J17" s="32"/>
      <c r="K17" s="30" t="s">
        <v>47</v>
      </c>
      <c r="L17" s="29">
        <v>10</v>
      </c>
      <c r="M17" s="6"/>
    </row>
    <row r="18" spans="1:13" ht="19.899999999999999" customHeight="1" x14ac:dyDescent="0.25">
      <c r="A18" s="29">
        <v>4</v>
      </c>
      <c r="B18" s="28" t="s">
        <v>137</v>
      </c>
      <c r="C18" s="31">
        <v>0</v>
      </c>
      <c r="D18" s="29">
        <v>10</v>
      </c>
      <c r="E18" s="29" t="str">
        <f t="shared" si="0"/>
        <v>Place Order</v>
      </c>
      <c r="F18" s="32"/>
      <c r="G18" s="28" t="s">
        <v>68</v>
      </c>
      <c r="H18" s="29">
        <v>0</v>
      </c>
      <c r="I18" s="29"/>
      <c r="J18" s="32"/>
      <c r="K18" s="28" t="s">
        <v>68</v>
      </c>
      <c r="L18" s="29">
        <v>4</v>
      </c>
      <c r="M18" s="6"/>
    </row>
    <row r="19" spans="1:13" ht="19.899999999999999" customHeight="1" x14ac:dyDescent="0.25">
      <c r="A19" s="29">
        <v>14</v>
      </c>
      <c r="B19" s="30" t="s">
        <v>136</v>
      </c>
      <c r="C19" s="31">
        <f t="shared" si="1"/>
        <v>14</v>
      </c>
      <c r="D19" s="29">
        <v>2</v>
      </c>
      <c r="E19" s="29" t="str">
        <f t="shared" si="0"/>
        <v/>
      </c>
      <c r="F19" s="32"/>
      <c r="G19" s="30" t="s">
        <v>59</v>
      </c>
      <c r="H19" s="29">
        <v>0</v>
      </c>
      <c r="I19" s="29"/>
      <c r="J19" s="32"/>
      <c r="K19" s="30" t="s">
        <v>59</v>
      </c>
      <c r="L19" s="29">
        <v>0</v>
      </c>
      <c r="M19" s="6"/>
    </row>
    <row r="20" spans="1:13" ht="19.899999999999999" customHeight="1" x14ac:dyDescent="0.25">
      <c r="A20" s="29">
        <v>20</v>
      </c>
      <c r="B20" s="30" t="s">
        <v>135</v>
      </c>
      <c r="C20" s="31">
        <v>20</v>
      </c>
      <c r="D20" s="29">
        <v>10</v>
      </c>
      <c r="E20" s="29" t="str">
        <f t="shared" si="0"/>
        <v/>
      </c>
      <c r="F20" s="32"/>
      <c r="G20" s="30" t="s">
        <v>58</v>
      </c>
      <c r="H20" s="29">
        <v>0</v>
      </c>
      <c r="I20" s="29"/>
      <c r="J20" s="32"/>
      <c r="K20" s="30" t="s">
        <v>58</v>
      </c>
      <c r="L20" s="29">
        <v>0</v>
      </c>
      <c r="M20" s="6"/>
    </row>
    <row r="21" spans="1:13" ht="19.899999999999999" customHeight="1" x14ac:dyDescent="0.25">
      <c r="A21" s="29">
        <v>0</v>
      </c>
      <c r="B21" s="30" t="s">
        <v>60</v>
      </c>
      <c r="C21" s="31">
        <v>0</v>
      </c>
      <c r="D21" s="29">
        <v>3</v>
      </c>
      <c r="E21" s="29" t="str">
        <f t="shared" si="0"/>
        <v>Place Order</v>
      </c>
      <c r="F21" s="32"/>
      <c r="G21" s="30" t="s">
        <v>60</v>
      </c>
      <c r="H21" s="29">
        <v>0</v>
      </c>
      <c r="I21" s="29"/>
      <c r="J21" s="32"/>
      <c r="K21" s="30" t="s">
        <v>60</v>
      </c>
      <c r="L21" s="29">
        <v>0</v>
      </c>
      <c r="M21" s="6"/>
    </row>
    <row r="22" spans="1:13" ht="19.899999999999999" customHeight="1" x14ac:dyDescent="0.25">
      <c r="A22" s="29">
        <v>0</v>
      </c>
      <c r="B22" s="30" t="s">
        <v>43</v>
      </c>
      <c r="C22" s="31">
        <v>0</v>
      </c>
      <c r="D22" s="29">
        <v>1</v>
      </c>
      <c r="E22" s="29" t="str">
        <f t="shared" si="0"/>
        <v>Place Order</v>
      </c>
      <c r="F22" s="32"/>
      <c r="G22" s="30" t="s">
        <v>43</v>
      </c>
      <c r="H22" s="29">
        <v>0</v>
      </c>
      <c r="I22" s="29"/>
      <c r="J22" s="32"/>
      <c r="K22" s="30" t="s">
        <v>43</v>
      </c>
      <c r="L22" s="29">
        <v>0</v>
      </c>
      <c r="M22" s="6"/>
    </row>
    <row r="23" spans="1:13" ht="19.899999999999999" customHeight="1" x14ac:dyDescent="0.25">
      <c r="A23" s="29">
        <v>111</v>
      </c>
      <c r="B23" s="33" t="s">
        <v>91</v>
      </c>
      <c r="C23" s="31">
        <v>111</v>
      </c>
      <c r="D23" s="29">
        <v>20</v>
      </c>
      <c r="E23" s="29" t="str">
        <f t="shared" si="0"/>
        <v/>
      </c>
      <c r="F23" s="32"/>
      <c r="G23" s="33" t="s">
        <v>91</v>
      </c>
      <c r="H23" s="29">
        <v>0</v>
      </c>
      <c r="I23" s="29"/>
      <c r="J23" s="32"/>
      <c r="K23" s="33" t="s">
        <v>91</v>
      </c>
      <c r="L23" s="29">
        <v>0</v>
      </c>
      <c r="M23" s="6"/>
    </row>
    <row r="24" spans="1:13" ht="19.899999999999999" customHeight="1" x14ac:dyDescent="0.25">
      <c r="A24" s="29">
        <v>8</v>
      </c>
      <c r="B24" s="28" t="s">
        <v>109</v>
      </c>
      <c r="C24" s="31">
        <v>15</v>
      </c>
      <c r="D24" s="29">
        <v>6</v>
      </c>
      <c r="E24" s="29" t="str">
        <f t="shared" si="0"/>
        <v/>
      </c>
      <c r="F24" s="32"/>
      <c r="G24" s="28" t="s">
        <v>109</v>
      </c>
      <c r="H24" s="29">
        <v>10</v>
      </c>
      <c r="I24" s="29"/>
      <c r="J24" s="32"/>
      <c r="K24" s="28" t="s">
        <v>109</v>
      </c>
      <c r="L24" s="29">
        <v>3</v>
      </c>
      <c r="M24" s="6"/>
    </row>
    <row r="25" spans="1:13" ht="19.899999999999999" customHeight="1" x14ac:dyDescent="0.25">
      <c r="A25" s="29">
        <v>1</v>
      </c>
      <c r="B25" s="30" t="s">
        <v>37</v>
      </c>
      <c r="C25" s="31">
        <f t="shared" si="1"/>
        <v>1</v>
      </c>
      <c r="D25" s="29">
        <v>0</v>
      </c>
      <c r="E25" s="29" t="str">
        <f t="shared" si="0"/>
        <v/>
      </c>
      <c r="F25" s="32"/>
      <c r="G25" s="30" t="s">
        <v>37</v>
      </c>
      <c r="H25" s="29">
        <v>0</v>
      </c>
      <c r="I25" s="29"/>
      <c r="J25" s="32"/>
      <c r="K25" s="30" t="s">
        <v>37</v>
      </c>
      <c r="L25" s="29">
        <v>0</v>
      </c>
      <c r="M25" s="6"/>
    </row>
    <row r="26" spans="1:13" ht="19.899999999999999" customHeight="1" x14ac:dyDescent="0.25">
      <c r="A26" s="29">
        <v>1</v>
      </c>
      <c r="B26" s="30" t="s">
        <v>49</v>
      </c>
      <c r="C26" s="31">
        <v>1</v>
      </c>
      <c r="D26" s="29">
        <v>1</v>
      </c>
      <c r="E26" s="29" t="str">
        <f t="shared" si="0"/>
        <v/>
      </c>
      <c r="F26" s="32"/>
      <c r="G26" s="30" t="s">
        <v>49</v>
      </c>
      <c r="H26" s="29">
        <v>0</v>
      </c>
      <c r="I26" s="29"/>
      <c r="J26" s="32"/>
      <c r="K26" s="30" t="s">
        <v>49</v>
      </c>
      <c r="L26" s="29">
        <v>1</v>
      </c>
      <c r="M26" s="6"/>
    </row>
    <row r="27" spans="1:13" ht="19.899999999999999" customHeight="1" x14ac:dyDescent="0.25">
      <c r="A27" s="29">
        <v>3</v>
      </c>
      <c r="B27" s="28" t="s">
        <v>84</v>
      </c>
      <c r="C27" s="31">
        <f t="shared" si="1"/>
        <v>3</v>
      </c>
      <c r="D27" s="29">
        <v>2</v>
      </c>
      <c r="E27" s="29" t="str">
        <f t="shared" si="0"/>
        <v/>
      </c>
      <c r="F27" s="32"/>
      <c r="G27" s="28" t="s">
        <v>84</v>
      </c>
      <c r="H27" s="29">
        <v>0</v>
      </c>
      <c r="I27" s="29"/>
      <c r="J27" s="32"/>
      <c r="K27" s="28" t="s">
        <v>84</v>
      </c>
      <c r="L27" s="29">
        <v>0</v>
      </c>
      <c r="M27" s="6"/>
    </row>
    <row r="28" spans="1:13" ht="19.899999999999999" customHeight="1" x14ac:dyDescent="0.25">
      <c r="A28" s="29">
        <v>8</v>
      </c>
      <c r="B28" s="30" t="s">
        <v>108</v>
      </c>
      <c r="C28" s="31">
        <v>8</v>
      </c>
      <c r="D28" s="29">
        <v>5</v>
      </c>
      <c r="E28" s="29" t="str">
        <f t="shared" si="0"/>
        <v/>
      </c>
      <c r="F28" s="32"/>
      <c r="G28" s="30" t="s">
        <v>108</v>
      </c>
      <c r="H28" s="29">
        <v>0</v>
      </c>
      <c r="I28" s="29"/>
      <c r="J28" s="32"/>
      <c r="K28" s="30" t="s">
        <v>108</v>
      </c>
      <c r="L28" s="29">
        <v>0</v>
      </c>
      <c r="M28" s="6"/>
    </row>
    <row r="29" spans="1:13" ht="19.899999999999999" customHeight="1" x14ac:dyDescent="0.25">
      <c r="A29" s="29">
        <v>1</v>
      </c>
      <c r="B29" s="30" t="s">
        <v>36</v>
      </c>
      <c r="C29" s="31">
        <v>2</v>
      </c>
      <c r="D29" s="29">
        <v>3</v>
      </c>
      <c r="E29" s="29" t="str">
        <f t="shared" si="0"/>
        <v>Place Order</v>
      </c>
      <c r="F29" s="32"/>
      <c r="G29" s="30" t="s">
        <v>36</v>
      </c>
      <c r="H29" s="29">
        <v>2</v>
      </c>
      <c r="I29" s="29"/>
      <c r="J29" s="32"/>
      <c r="K29" s="30" t="s">
        <v>36</v>
      </c>
      <c r="L29" s="29">
        <v>1</v>
      </c>
      <c r="M29" s="6"/>
    </row>
    <row r="30" spans="1:13" ht="19.899999999999999" customHeight="1" x14ac:dyDescent="0.25">
      <c r="A30" s="29">
        <v>0</v>
      </c>
      <c r="B30" s="28" t="s">
        <v>82</v>
      </c>
      <c r="C30" s="31">
        <v>29</v>
      </c>
      <c r="D30" s="29">
        <v>25</v>
      </c>
      <c r="E30" s="29" t="str">
        <f t="shared" si="0"/>
        <v/>
      </c>
      <c r="F30" s="32"/>
      <c r="G30" s="28" t="s">
        <v>82</v>
      </c>
      <c r="H30" s="29">
        <v>29</v>
      </c>
      <c r="I30" s="29"/>
      <c r="J30" s="32"/>
      <c r="K30" s="28" t="s">
        <v>82</v>
      </c>
      <c r="L30" s="29">
        <v>0</v>
      </c>
      <c r="M30" s="50"/>
    </row>
    <row r="31" spans="1:13" ht="19.899999999999999" customHeight="1" x14ac:dyDescent="0.25">
      <c r="A31" s="29">
        <v>30</v>
      </c>
      <c r="B31" s="28" t="s">
        <v>83</v>
      </c>
      <c r="C31" s="31">
        <v>30</v>
      </c>
      <c r="D31" s="29">
        <v>25</v>
      </c>
      <c r="E31" s="29" t="str">
        <f t="shared" si="0"/>
        <v/>
      </c>
      <c r="F31" s="32"/>
      <c r="G31" s="28" t="s">
        <v>83</v>
      </c>
      <c r="H31" s="29">
        <v>0</v>
      </c>
      <c r="I31" s="29"/>
      <c r="J31" s="32"/>
      <c r="K31" s="28" t="s">
        <v>83</v>
      </c>
      <c r="L31" s="29">
        <v>0</v>
      </c>
      <c r="M31" s="6"/>
    </row>
    <row r="32" spans="1:13" ht="19.899999999999999" customHeight="1" x14ac:dyDescent="0.25">
      <c r="A32" s="29">
        <v>30</v>
      </c>
      <c r="B32" s="28" t="s">
        <v>81</v>
      </c>
      <c r="C32" s="31">
        <v>200</v>
      </c>
      <c r="D32" s="29">
        <v>25</v>
      </c>
      <c r="E32" s="29" t="str">
        <f t="shared" si="0"/>
        <v/>
      </c>
      <c r="F32" s="32"/>
      <c r="G32" s="28" t="s">
        <v>81</v>
      </c>
      <c r="H32" s="29">
        <v>170</v>
      </c>
      <c r="I32" s="29"/>
      <c r="J32" s="32"/>
      <c r="K32" s="28" t="s">
        <v>81</v>
      </c>
      <c r="L32" s="29">
        <v>0</v>
      </c>
      <c r="M32" s="6"/>
    </row>
    <row r="33" spans="1:13" ht="19.899999999999999" customHeight="1" x14ac:dyDescent="0.25">
      <c r="A33" s="29">
        <v>62</v>
      </c>
      <c r="B33" s="30" t="s">
        <v>32</v>
      </c>
      <c r="C33" s="31">
        <v>62</v>
      </c>
      <c r="D33" s="29">
        <v>10</v>
      </c>
      <c r="E33" s="29" t="str">
        <f t="shared" si="0"/>
        <v/>
      </c>
      <c r="F33" s="32"/>
      <c r="G33" s="30" t="s">
        <v>32</v>
      </c>
      <c r="H33" s="29">
        <v>0</v>
      </c>
      <c r="I33" s="29"/>
      <c r="J33" s="32"/>
      <c r="K33" s="30" t="s">
        <v>32</v>
      </c>
      <c r="L33" s="29">
        <v>0</v>
      </c>
      <c r="M33" s="50"/>
    </row>
    <row r="34" spans="1:13" ht="19.899999999999999" customHeight="1" x14ac:dyDescent="0.25">
      <c r="A34" s="29">
        <v>2</v>
      </c>
      <c r="B34" s="28" t="s">
        <v>100</v>
      </c>
      <c r="C34" s="31">
        <v>2</v>
      </c>
      <c r="D34" s="29">
        <v>3</v>
      </c>
      <c r="E34" s="29" t="str">
        <f t="shared" si="0"/>
        <v>Place Order</v>
      </c>
      <c r="F34" s="32"/>
      <c r="G34" s="28" t="s">
        <v>100</v>
      </c>
      <c r="H34" s="29">
        <v>0</v>
      </c>
      <c r="I34" s="29"/>
      <c r="J34" s="32"/>
      <c r="K34" s="28" t="s">
        <v>100</v>
      </c>
      <c r="L34" s="29">
        <v>0</v>
      </c>
      <c r="M34" s="50"/>
    </row>
    <row r="35" spans="1:13" ht="19.899999999999999" customHeight="1" x14ac:dyDescent="0.25">
      <c r="A35" s="29">
        <v>34</v>
      </c>
      <c r="B35" s="30" t="s">
        <v>102</v>
      </c>
      <c r="C35" s="31">
        <v>34</v>
      </c>
      <c r="D35" s="29">
        <v>2</v>
      </c>
      <c r="E35" s="29" t="str">
        <f t="shared" ref="E35:E66" si="2">IF(C35&lt;D35,"Place Order","")</f>
        <v/>
      </c>
      <c r="F35" s="32"/>
      <c r="G35" s="30" t="s">
        <v>102</v>
      </c>
      <c r="H35" s="29">
        <v>0</v>
      </c>
      <c r="I35" s="29"/>
      <c r="J35" s="32"/>
      <c r="K35" s="30" t="s">
        <v>102</v>
      </c>
      <c r="L35" s="29">
        <v>0</v>
      </c>
      <c r="M35" s="50"/>
    </row>
    <row r="36" spans="1:13" ht="19.899999999999999" customHeight="1" x14ac:dyDescent="0.25">
      <c r="A36" s="29">
        <v>0</v>
      </c>
      <c r="B36" s="28" t="s">
        <v>93</v>
      </c>
      <c r="C36" s="31">
        <v>0</v>
      </c>
      <c r="D36" s="29">
        <v>1</v>
      </c>
      <c r="E36" s="29" t="str">
        <f t="shared" si="2"/>
        <v>Place Order</v>
      </c>
      <c r="F36" s="32"/>
      <c r="G36" s="28" t="s">
        <v>93</v>
      </c>
      <c r="H36" s="29">
        <v>0</v>
      </c>
      <c r="I36" s="29"/>
      <c r="J36" s="32"/>
      <c r="K36" s="28" t="s">
        <v>93</v>
      </c>
      <c r="L36" s="29">
        <v>0</v>
      </c>
      <c r="M36" s="6"/>
    </row>
    <row r="37" spans="1:13" ht="19.899999999999999" customHeight="1" x14ac:dyDescent="0.25">
      <c r="A37" s="29">
        <v>3</v>
      </c>
      <c r="B37" s="28" t="s">
        <v>88</v>
      </c>
      <c r="C37" s="31">
        <v>3</v>
      </c>
      <c r="D37" s="29">
        <v>1</v>
      </c>
      <c r="E37" s="29" t="str">
        <f t="shared" si="2"/>
        <v/>
      </c>
      <c r="F37" s="32"/>
      <c r="G37" s="28" t="s">
        <v>88</v>
      </c>
      <c r="H37" s="29">
        <v>0</v>
      </c>
      <c r="I37" s="29"/>
      <c r="J37" s="32"/>
      <c r="K37" s="28" t="s">
        <v>88</v>
      </c>
      <c r="L37" s="29">
        <v>0</v>
      </c>
      <c r="M37" s="6"/>
    </row>
    <row r="38" spans="1:13" ht="19.899999999999999" customHeight="1" x14ac:dyDescent="0.25">
      <c r="A38" s="29">
        <v>12</v>
      </c>
      <c r="B38" s="30" t="s">
        <v>41</v>
      </c>
      <c r="C38" s="31">
        <v>12</v>
      </c>
      <c r="D38" s="29">
        <v>10</v>
      </c>
      <c r="E38" s="29" t="str">
        <f t="shared" si="2"/>
        <v/>
      </c>
      <c r="F38" s="32"/>
      <c r="G38" s="30" t="s">
        <v>41</v>
      </c>
      <c r="H38" s="29">
        <v>0</v>
      </c>
      <c r="I38" s="29"/>
      <c r="J38" s="32"/>
      <c r="K38" s="30" t="s">
        <v>41</v>
      </c>
      <c r="L38" s="29">
        <v>0</v>
      </c>
      <c r="M38" s="6"/>
    </row>
    <row r="39" spans="1:13" ht="19.899999999999999" customHeight="1" x14ac:dyDescent="0.25">
      <c r="A39" s="29">
        <v>2</v>
      </c>
      <c r="B39" s="30" t="s">
        <v>63</v>
      </c>
      <c r="C39" s="31">
        <v>2</v>
      </c>
      <c r="D39" s="29">
        <v>1</v>
      </c>
      <c r="E39" s="29" t="str">
        <f t="shared" si="2"/>
        <v/>
      </c>
      <c r="F39" s="32"/>
      <c r="G39" s="30" t="s">
        <v>63</v>
      </c>
      <c r="H39" s="29">
        <v>0</v>
      </c>
      <c r="I39" s="29"/>
      <c r="J39" s="32"/>
      <c r="K39" s="30" t="s">
        <v>63</v>
      </c>
      <c r="L39" s="29">
        <v>0</v>
      </c>
      <c r="M39" s="6"/>
    </row>
    <row r="40" spans="1:13" ht="19.899999999999999" customHeight="1" x14ac:dyDescent="0.25">
      <c r="A40" s="29">
        <v>2</v>
      </c>
      <c r="B40" s="30" t="s">
        <v>64</v>
      </c>
      <c r="C40" s="31">
        <v>2</v>
      </c>
      <c r="D40" s="29">
        <v>1</v>
      </c>
      <c r="E40" s="29" t="str">
        <f t="shared" si="2"/>
        <v/>
      </c>
      <c r="F40" s="32"/>
      <c r="G40" s="30" t="s">
        <v>64</v>
      </c>
      <c r="H40" s="29">
        <v>0</v>
      </c>
      <c r="I40" s="29"/>
      <c r="J40" s="32"/>
      <c r="K40" s="30" t="s">
        <v>64</v>
      </c>
      <c r="L40" s="29">
        <v>0</v>
      </c>
      <c r="M40" s="6"/>
    </row>
    <row r="41" spans="1:13" ht="19.899999999999999" customHeight="1" x14ac:dyDescent="0.25">
      <c r="A41" s="29">
        <v>44</v>
      </c>
      <c r="B41" s="28" t="s">
        <v>89</v>
      </c>
      <c r="C41" s="31">
        <v>44</v>
      </c>
      <c r="D41" s="29">
        <v>5</v>
      </c>
      <c r="E41" s="29" t="str">
        <f t="shared" si="2"/>
        <v/>
      </c>
      <c r="F41" s="32"/>
      <c r="G41" s="28" t="s">
        <v>89</v>
      </c>
      <c r="H41" s="29">
        <v>0</v>
      </c>
      <c r="I41" s="29"/>
      <c r="J41" s="32"/>
      <c r="K41" s="28" t="s">
        <v>89</v>
      </c>
      <c r="L41" s="29">
        <v>0</v>
      </c>
      <c r="M41" s="50"/>
    </row>
    <row r="42" spans="1:13" ht="19.899999999999999" customHeight="1" x14ac:dyDescent="0.25">
      <c r="A42" s="29">
        <v>3</v>
      </c>
      <c r="B42" s="28" t="s">
        <v>39</v>
      </c>
      <c r="C42" s="31">
        <v>3</v>
      </c>
      <c r="D42" s="29">
        <v>5</v>
      </c>
      <c r="E42" s="29" t="str">
        <f t="shared" si="2"/>
        <v>Place Order</v>
      </c>
      <c r="F42" s="32"/>
      <c r="G42" s="28" t="s">
        <v>39</v>
      </c>
      <c r="H42" s="29">
        <v>0</v>
      </c>
      <c r="I42" s="29"/>
      <c r="J42" s="32"/>
      <c r="K42" s="28" t="s">
        <v>39</v>
      </c>
      <c r="L42" s="29">
        <v>0</v>
      </c>
      <c r="M42" s="6"/>
    </row>
    <row r="43" spans="1:13" ht="19.899999999999999" customHeight="1" x14ac:dyDescent="0.25">
      <c r="A43" s="29">
        <v>8</v>
      </c>
      <c r="B43" s="28" t="s">
        <v>38</v>
      </c>
      <c r="C43" s="31">
        <v>8</v>
      </c>
      <c r="D43" s="29">
        <v>1</v>
      </c>
      <c r="E43" s="29" t="str">
        <f t="shared" si="2"/>
        <v/>
      </c>
      <c r="F43" s="32"/>
      <c r="G43" s="28" t="s">
        <v>38</v>
      </c>
      <c r="H43" s="29">
        <v>0</v>
      </c>
      <c r="I43" s="29"/>
      <c r="J43" s="32"/>
      <c r="K43" s="28" t="s">
        <v>38</v>
      </c>
      <c r="L43" s="29">
        <v>0</v>
      </c>
      <c r="M43" s="50"/>
    </row>
    <row r="44" spans="1:13" ht="19.899999999999999" customHeight="1" x14ac:dyDescent="0.25">
      <c r="A44" s="29">
        <v>5</v>
      </c>
      <c r="B44" s="28" t="s">
        <v>132</v>
      </c>
      <c r="C44" s="31">
        <v>5</v>
      </c>
      <c r="D44" s="29">
        <v>1</v>
      </c>
      <c r="E44" s="29" t="str">
        <f t="shared" si="2"/>
        <v/>
      </c>
      <c r="F44" s="32"/>
      <c r="G44" s="28" t="s">
        <v>132</v>
      </c>
      <c r="H44" s="29">
        <v>0</v>
      </c>
      <c r="I44" s="29"/>
      <c r="J44" s="32"/>
      <c r="K44" s="28" t="s">
        <v>132</v>
      </c>
      <c r="L44" s="29">
        <v>0</v>
      </c>
      <c r="M44" s="6"/>
    </row>
    <row r="45" spans="1:13" ht="19.899999999999999" customHeight="1" x14ac:dyDescent="0.25">
      <c r="A45" s="29">
        <v>1</v>
      </c>
      <c r="B45" s="28" t="s">
        <v>131</v>
      </c>
      <c r="C45" s="31">
        <v>1</v>
      </c>
      <c r="D45" s="29">
        <v>1</v>
      </c>
      <c r="E45" s="29" t="str">
        <f t="shared" si="2"/>
        <v/>
      </c>
      <c r="F45" s="32"/>
      <c r="G45" s="28" t="s">
        <v>131</v>
      </c>
      <c r="H45" s="29">
        <v>1</v>
      </c>
      <c r="I45" s="29"/>
      <c r="J45" s="32"/>
      <c r="K45" s="28" t="s">
        <v>131</v>
      </c>
      <c r="L45" s="29">
        <v>1</v>
      </c>
      <c r="M45" s="6"/>
    </row>
    <row r="46" spans="1:13" ht="19.899999999999999" customHeight="1" x14ac:dyDescent="0.25">
      <c r="A46" s="29">
        <v>0</v>
      </c>
      <c r="B46" s="30" t="s">
        <v>53</v>
      </c>
      <c r="C46" s="31">
        <f t="shared" si="1"/>
        <v>0</v>
      </c>
      <c r="D46" s="29">
        <v>0</v>
      </c>
      <c r="E46" s="29" t="str">
        <f t="shared" si="2"/>
        <v/>
      </c>
      <c r="F46" s="32"/>
      <c r="G46" s="30" t="s">
        <v>53</v>
      </c>
      <c r="H46" s="29">
        <v>0</v>
      </c>
      <c r="I46" s="29"/>
      <c r="J46" s="32"/>
      <c r="K46" s="30" t="s">
        <v>53</v>
      </c>
      <c r="L46" s="29">
        <v>0</v>
      </c>
      <c r="M46" s="6"/>
    </row>
    <row r="47" spans="1:13" ht="19.899999999999999" customHeight="1" x14ac:dyDescent="0.25">
      <c r="A47" s="29">
        <v>11</v>
      </c>
      <c r="B47" s="30" t="s">
        <v>133</v>
      </c>
      <c r="C47" s="31">
        <v>11</v>
      </c>
      <c r="D47" s="29">
        <v>2</v>
      </c>
      <c r="E47" s="29" t="str">
        <f t="shared" si="2"/>
        <v/>
      </c>
      <c r="F47" s="32"/>
      <c r="G47" s="30" t="s">
        <v>56</v>
      </c>
      <c r="H47" s="29">
        <v>0</v>
      </c>
      <c r="I47" s="29"/>
      <c r="J47" s="32"/>
      <c r="K47" s="30" t="s">
        <v>56</v>
      </c>
      <c r="L47" s="29">
        <v>0</v>
      </c>
      <c r="M47" s="6"/>
    </row>
    <row r="48" spans="1:13" ht="19.899999999999999" customHeight="1" x14ac:dyDescent="0.25">
      <c r="A48" s="29">
        <v>0</v>
      </c>
      <c r="B48" s="30" t="s">
        <v>52</v>
      </c>
      <c r="C48" s="31">
        <v>0</v>
      </c>
      <c r="D48" s="29">
        <v>1</v>
      </c>
      <c r="E48" s="29" t="str">
        <f t="shared" si="2"/>
        <v>Place Order</v>
      </c>
      <c r="F48" s="32"/>
      <c r="G48" s="30" t="s">
        <v>52</v>
      </c>
      <c r="H48" s="29">
        <v>0</v>
      </c>
      <c r="I48" s="29"/>
      <c r="J48" s="32"/>
      <c r="K48" s="30" t="s">
        <v>52</v>
      </c>
      <c r="L48" s="29">
        <v>0</v>
      </c>
      <c r="M48" s="6"/>
    </row>
    <row r="49" spans="1:14" ht="19.899999999999999" customHeight="1" x14ac:dyDescent="0.25">
      <c r="A49" s="29">
        <v>2</v>
      </c>
      <c r="B49" s="28" t="s">
        <v>101</v>
      </c>
      <c r="C49" s="31">
        <v>4</v>
      </c>
      <c r="D49" s="29">
        <v>5</v>
      </c>
      <c r="E49" s="29" t="str">
        <f t="shared" si="2"/>
        <v>Place Order</v>
      </c>
      <c r="F49" s="32"/>
      <c r="G49" s="28" t="s">
        <v>101</v>
      </c>
      <c r="H49" s="29">
        <v>2</v>
      </c>
      <c r="I49" s="29"/>
      <c r="J49" s="32"/>
      <c r="K49" s="28" t="s">
        <v>101</v>
      </c>
      <c r="L49" s="29">
        <v>0</v>
      </c>
      <c r="M49" s="6"/>
    </row>
    <row r="50" spans="1:14" ht="19.899999999999999" customHeight="1" x14ac:dyDescent="0.25">
      <c r="A50" s="29">
        <v>4</v>
      </c>
      <c r="B50" s="28" t="s">
        <v>182</v>
      </c>
      <c r="C50" s="31">
        <v>6</v>
      </c>
      <c r="D50" s="29"/>
      <c r="E50" s="29"/>
      <c r="F50" s="32"/>
      <c r="G50" s="28" t="s">
        <v>182</v>
      </c>
      <c r="H50" s="29">
        <v>8</v>
      </c>
      <c r="I50" s="29"/>
      <c r="J50" s="32"/>
      <c r="K50" s="28" t="s">
        <v>182</v>
      </c>
      <c r="L50" s="29">
        <v>5</v>
      </c>
      <c r="M50" s="6"/>
    </row>
    <row r="51" spans="1:14" ht="19.899999999999999" customHeight="1" x14ac:dyDescent="0.25">
      <c r="A51" s="29">
        <v>170</v>
      </c>
      <c r="B51" s="33" t="s">
        <v>92</v>
      </c>
      <c r="C51" s="31">
        <v>170</v>
      </c>
      <c r="D51" s="29">
        <v>12</v>
      </c>
      <c r="E51" s="29" t="str">
        <f t="shared" si="2"/>
        <v/>
      </c>
      <c r="F51" s="32"/>
      <c r="G51" s="33" t="s">
        <v>92</v>
      </c>
      <c r="H51" s="29">
        <v>0</v>
      </c>
      <c r="I51" s="29"/>
      <c r="J51" s="32"/>
      <c r="K51" s="33" t="s">
        <v>92</v>
      </c>
      <c r="L51" s="29">
        <v>0</v>
      </c>
      <c r="M51" s="6"/>
    </row>
    <row r="52" spans="1:14" ht="19.899999999999999" customHeight="1" x14ac:dyDescent="0.25">
      <c r="A52" s="29">
        <v>8</v>
      </c>
      <c r="B52" s="30" t="s">
        <v>34</v>
      </c>
      <c r="C52" s="31">
        <v>8</v>
      </c>
      <c r="D52" s="29">
        <v>2</v>
      </c>
      <c r="E52" s="29" t="str">
        <f t="shared" si="2"/>
        <v/>
      </c>
      <c r="F52" s="32"/>
      <c r="G52" s="30" t="s">
        <v>34</v>
      </c>
      <c r="H52" s="29">
        <v>0</v>
      </c>
      <c r="I52" s="29"/>
      <c r="J52" s="32"/>
      <c r="K52" s="30" t="s">
        <v>34</v>
      </c>
      <c r="L52" s="29">
        <v>0</v>
      </c>
      <c r="M52" s="6"/>
    </row>
    <row r="53" spans="1:14" ht="19.899999999999999" customHeight="1" x14ac:dyDescent="0.25">
      <c r="A53" s="29">
        <v>65</v>
      </c>
      <c r="B53" s="28" t="s">
        <v>77</v>
      </c>
      <c r="C53" s="31">
        <v>65</v>
      </c>
      <c r="D53" s="29">
        <v>10</v>
      </c>
      <c r="E53" s="29" t="str">
        <f t="shared" si="2"/>
        <v/>
      </c>
      <c r="F53" s="32"/>
      <c r="G53" s="28" t="s">
        <v>77</v>
      </c>
      <c r="H53" s="29">
        <v>0</v>
      </c>
      <c r="I53" s="29"/>
      <c r="J53" s="32"/>
      <c r="K53" s="28" t="s">
        <v>77</v>
      </c>
      <c r="L53" s="29">
        <v>0</v>
      </c>
      <c r="M53" s="28"/>
    </row>
    <row r="54" spans="1:14" ht="19.899999999999999" customHeight="1" x14ac:dyDescent="0.25">
      <c r="A54" s="29">
        <v>290</v>
      </c>
      <c r="B54" s="28" t="s">
        <v>74</v>
      </c>
      <c r="C54" s="31">
        <v>290</v>
      </c>
      <c r="D54" s="29">
        <v>25</v>
      </c>
      <c r="E54" s="29" t="str">
        <f t="shared" si="2"/>
        <v/>
      </c>
      <c r="F54" s="32"/>
      <c r="G54" s="28" t="s">
        <v>74</v>
      </c>
      <c r="H54" s="29">
        <v>0</v>
      </c>
      <c r="I54" s="29"/>
      <c r="J54" s="32"/>
      <c r="K54" s="28" t="s">
        <v>74</v>
      </c>
      <c r="L54" s="29">
        <v>0</v>
      </c>
      <c r="M54" s="6"/>
    </row>
    <row r="55" spans="1:14" ht="19.899999999999999" customHeight="1" x14ac:dyDescent="0.25">
      <c r="A55" s="29">
        <v>250</v>
      </c>
      <c r="B55" s="28" t="s">
        <v>184</v>
      </c>
      <c r="C55" s="31">
        <v>250</v>
      </c>
      <c r="D55" s="29">
        <v>25</v>
      </c>
      <c r="E55" s="29" t="str">
        <f t="shared" si="2"/>
        <v/>
      </c>
      <c r="F55" s="32"/>
      <c r="G55" s="28" t="s">
        <v>184</v>
      </c>
      <c r="H55" s="29">
        <v>0</v>
      </c>
      <c r="I55" s="29"/>
      <c r="J55" s="32"/>
      <c r="K55" s="28" t="s">
        <v>184</v>
      </c>
      <c r="L55" s="29">
        <v>0</v>
      </c>
      <c r="M55" s="6"/>
    </row>
    <row r="56" spans="1:14" ht="19.899999999999999" customHeight="1" x14ac:dyDescent="0.25">
      <c r="A56" s="29">
        <v>350</v>
      </c>
      <c r="B56" s="28" t="s">
        <v>183</v>
      </c>
      <c r="C56" s="31">
        <v>350</v>
      </c>
      <c r="D56" s="29">
        <v>25</v>
      </c>
      <c r="E56" s="29" t="str">
        <f t="shared" si="2"/>
        <v/>
      </c>
      <c r="F56" s="32"/>
      <c r="G56" s="28" t="s">
        <v>183</v>
      </c>
      <c r="H56" s="29">
        <v>0</v>
      </c>
      <c r="I56" s="29"/>
      <c r="J56" s="32"/>
      <c r="K56" s="28" t="s">
        <v>183</v>
      </c>
      <c r="L56" s="29">
        <v>0</v>
      </c>
      <c r="M56" s="6"/>
    </row>
    <row r="57" spans="1:14" ht="19.899999999999999" customHeight="1" x14ac:dyDescent="0.25">
      <c r="A57" s="29">
        <v>23</v>
      </c>
      <c r="B57" s="28" t="s">
        <v>124</v>
      </c>
      <c r="C57" s="31">
        <v>21</v>
      </c>
      <c r="D57" s="29">
        <v>0</v>
      </c>
      <c r="E57" s="29" t="str">
        <f t="shared" si="2"/>
        <v/>
      </c>
      <c r="F57" s="32"/>
      <c r="G57" s="28" t="s">
        <v>124</v>
      </c>
      <c r="H57" s="29">
        <v>0</v>
      </c>
      <c r="I57" s="29"/>
      <c r="J57" s="32"/>
      <c r="K57" s="28" t="s">
        <v>124</v>
      </c>
      <c r="L57" s="29">
        <v>2</v>
      </c>
      <c r="M57" s="6"/>
    </row>
    <row r="58" spans="1:14" ht="19.899999999999999" customHeight="1" x14ac:dyDescent="0.25">
      <c r="A58" s="29">
        <v>4</v>
      </c>
      <c r="B58" s="30" t="s">
        <v>61</v>
      </c>
      <c r="C58" s="31">
        <f t="shared" si="1"/>
        <v>4</v>
      </c>
      <c r="D58" s="29">
        <v>1</v>
      </c>
      <c r="E58" s="29" t="str">
        <f t="shared" si="2"/>
        <v/>
      </c>
      <c r="F58" s="32"/>
      <c r="G58" s="30" t="s">
        <v>61</v>
      </c>
      <c r="H58" s="29">
        <v>0</v>
      </c>
      <c r="I58" s="29"/>
      <c r="J58" s="32"/>
      <c r="K58" s="30" t="s">
        <v>61</v>
      </c>
      <c r="L58" s="29">
        <v>0</v>
      </c>
      <c r="M58" s="6"/>
    </row>
    <row r="59" spans="1:14" ht="30.75" customHeight="1" x14ac:dyDescent="0.25">
      <c r="A59" s="29">
        <v>4</v>
      </c>
      <c r="B59" s="44" t="s">
        <v>138</v>
      </c>
      <c r="C59" s="31">
        <v>4</v>
      </c>
      <c r="D59" s="29">
        <v>1</v>
      </c>
      <c r="E59" s="29" t="str">
        <f t="shared" si="2"/>
        <v/>
      </c>
      <c r="F59" s="32"/>
      <c r="G59" s="30" t="s">
        <v>67</v>
      </c>
      <c r="H59" s="29">
        <v>0</v>
      </c>
      <c r="I59" s="29"/>
      <c r="J59" s="32"/>
      <c r="K59" s="30" t="s">
        <v>67</v>
      </c>
      <c r="L59" s="29">
        <v>0</v>
      </c>
      <c r="M59" s="28"/>
      <c r="N59" s="37"/>
    </row>
    <row r="60" spans="1:14" ht="19.899999999999999" customHeight="1" x14ac:dyDescent="0.25">
      <c r="A60" s="29">
        <v>0</v>
      </c>
      <c r="B60" s="30" t="s">
        <v>48</v>
      </c>
      <c r="C60" s="31">
        <v>0</v>
      </c>
      <c r="D60" s="29">
        <v>1</v>
      </c>
      <c r="E60" s="29" t="str">
        <f t="shared" si="2"/>
        <v>Place Order</v>
      </c>
      <c r="F60" s="32"/>
      <c r="G60" s="30" t="s">
        <v>48</v>
      </c>
      <c r="H60" s="29">
        <v>0</v>
      </c>
      <c r="I60" s="29"/>
      <c r="J60" s="32"/>
      <c r="K60" s="30" t="s">
        <v>48</v>
      </c>
      <c r="L60" s="29">
        <v>0</v>
      </c>
      <c r="M60" s="6"/>
    </row>
    <row r="61" spans="1:14" ht="19.899999999999999" customHeight="1" x14ac:dyDescent="0.25">
      <c r="A61" s="29">
        <v>0</v>
      </c>
      <c r="B61" s="30" t="s">
        <v>51</v>
      </c>
      <c r="C61" s="31">
        <f t="shared" si="1"/>
        <v>0</v>
      </c>
      <c r="D61" s="29">
        <v>1</v>
      </c>
      <c r="E61" s="29" t="str">
        <f t="shared" si="2"/>
        <v>Place Order</v>
      </c>
      <c r="F61" s="32"/>
      <c r="G61" s="30" t="s">
        <v>51</v>
      </c>
      <c r="H61" s="29">
        <v>0</v>
      </c>
      <c r="I61" s="29"/>
      <c r="J61" s="32"/>
      <c r="K61" s="30" t="s">
        <v>51</v>
      </c>
      <c r="L61" s="29">
        <v>0</v>
      </c>
      <c r="M61" s="28"/>
    </row>
    <row r="62" spans="1:14" ht="19.899999999999999" customHeight="1" x14ac:dyDescent="0.25">
      <c r="A62" s="29">
        <v>4</v>
      </c>
      <c r="B62" s="28" t="s">
        <v>128</v>
      </c>
      <c r="C62" s="31">
        <v>3</v>
      </c>
      <c r="D62" s="29">
        <v>2</v>
      </c>
      <c r="E62" s="29" t="str">
        <f t="shared" si="2"/>
        <v/>
      </c>
      <c r="F62" s="32"/>
      <c r="G62" s="28" t="s">
        <v>128</v>
      </c>
      <c r="H62" s="29">
        <v>0</v>
      </c>
      <c r="I62" s="29"/>
      <c r="J62" s="32"/>
      <c r="K62" s="28" t="s">
        <v>128</v>
      </c>
      <c r="L62" s="29">
        <v>1</v>
      </c>
      <c r="M62" s="6"/>
    </row>
    <row r="63" spans="1:14" ht="19.899999999999999" customHeight="1" x14ac:dyDescent="0.25">
      <c r="A63" s="29">
        <v>12</v>
      </c>
      <c r="B63" s="28" t="s">
        <v>86</v>
      </c>
      <c r="C63" s="31">
        <v>10</v>
      </c>
      <c r="D63" s="29">
        <v>2</v>
      </c>
      <c r="E63" s="29" t="str">
        <f t="shared" si="2"/>
        <v/>
      </c>
      <c r="F63" s="32"/>
      <c r="G63" s="28" t="s">
        <v>86</v>
      </c>
      <c r="H63" s="29">
        <v>0</v>
      </c>
      <c r="I63" s="29"/>
      <c r="J63" s="32"/>
      <c r="K63" s="28" t="s">
        <v>86</v>
      </c>
      <c r="L63" s="29">
        <v>2</v>
      </c>
      <c r="M63" s="28"/>
    </row>
    <row r="64" spans="1:14" ht="19.899999999999999" customHeight="1" x14ac:dyDescent="0.25">
      <c r="A64" s="29">
        <v>9</v>
      </c>
      <c r="B64" s="28" t="s">
        <v>44</v>
      </c>
      <c r="C64" s="31">
        <v>9</v>
      </c>
      <c r="D64" s="29">
        <v>2</v>
      </c>
      <c r="E64" s="29" t="str">
        <f t="shared" si="2"/>
        <v/>
      </c>
      <c r="F64" s="32"/>
      <c r="G64" s="28" t="s">
        <v>44</v>
      </c>
      <c r="H64" s="29">
        <v>0</v>
      </c>
      <c r="I64" s="29"/>
      <c r="J64" s="32"/>
      <c r="K64" s="28" t="s">
        <v>44</v>
      </c>
      <c r="L64" s="29">
        <v>0</v>
      </c>
      <c r="M64" s="6"/>
    </row>
    <row r="65" spans="1:13" ht="19.899999999999999" customHeight="1" x14ac:dyDescent="0.25">
      <c r="A65" s="29">
        <v>8</v>
      </c>
      <c r="B65" s="30" t="s">
        <v>31</v>
      </c>
      <c r="C65" s="31">
        <v>15</v>
      </c>
      <c r="D65" s="29">
        <v>3</v>
      </c>
      <c r="E65" s="29" t="str">
        <f t="shared" si="2"/>
        <v/>
      </c>
      <c r="F65" s="32"/>
      <c r="G65" s="30" t="s">
        <v>31</v>
      </c>
      <c r="H65" s="29">
        <v>10</v>
      </c>
      <c r="I65" s="29"/>
      <c r="J65" s="32"/>
      <c r="K65" s="30" t="s">
        <v>31</v>
      </c>
      <c r="L65" s="29">
        <v>3</v>
      </c>
      <c r="M65" s="6"/>
    </row>
    <row r="66" spans="1:13" x14ac:dyDescent="0.25">
      <c r="A66" s="29">
        <v>59</v>
      </c>
      <c r="B66" s="30" t="s">
        <v>42</v>
      </c>
      <c r="C66" s="31">
        <v>59</v>
      </c>
      <c r="D66" s="29">
        <v>6</v>
      </c>
      <c r="E66" s="29" t="str">
        <f t="shared" si="2"/>
        <v/>
      </c>
      <c r="F66" s="32"/>
      <c r="G66" s="30" t="s">
        <v>42</v>
      </c>
      <c r="H66" s="29">
        <v>0</v>
      </c>
      <c r="I66" s="29"/>
      <c r="J66" s="32"/>
      <c r="K66" s="30" t="s">
        <v>42</v>
      </c>
      <c r="L66" s="29">
        <v>0</v>
      </c>
      <c r="M66" s="28"/>
    </row>
    <row r="67" spans="1:13" x14ac:dyDescent="0.25">
      <c r="A67" s="29">
        <v>3</v>
      </c>
      <c r="B67" s="30" t="s">
        <v>54</v>
      </c>
      <c r="C67" s="31">
        <v>3</v>
      </c>
      <c r="D67" s="29">
        <v>3</v>
      </c>
      <c r="E67" s="29" t="str">
        <f t="shared" ref="E67:E83" si="3">IF(C67&lt;D67,"Place Order","")</f>
        <v/>
      </c>
      <c r="F67" s="32"/>
      <c r="G67" s="30" t="s">
        <v>54</v>
      </c>
      <c r="H67" s="29">
        <v>0</v>
      </c>
      <c r="I67" s="29"/>
      <c r="J67" s="32"/>
      <c r="K67" s="30" t="s">
        <v>54</v>
      </c>
      <c r="L67" s="29">
        <v>0</v>
      </c>
      <c r="M67" s="6"/>
    </row>
    <row r="68" spans="1:13" x14ac:dyDescent="0.25">
      <c r="A68" s="29">
        <v>6</v>
      </c>
      <c r="B68" s="30" t="s">
        <v>55</v>
      </c>
      <c r="C68" s="31">
        <v>6</v>
      </c>
      <c r="D68" s="29">
        <v>2</v>
      </c>
      <c r="E68" s="29" t="str">
        <f t="shared" si="3"/>
        <v/>
      </c>
      <c r="F68" s="32"/>
      <c r="G68" s="30" t="s">
        <v>55</v>
      </c>
      <c r="H68" s="29">
        <v>0</v>
      </c>
      <c r="I68" s="29"/>
      <c r="J68" s="32"/>
      <c r="K68" s="30" t="s">
        <v>55</v>
      </c>
      <c r="L68" s="29">
        <v>0</v>
      </c>
      <c r="M68" s="6"/>
    </row>
    <row r="69" spans="1:13" x14ac:dyDescent="0.25">
      <c r="A69" s="29">
        <v>0</v>
      </c>
      <c r="B69" s="30" t="s">
        <v>50</v>
      </c>
      <c r="C69" s="31">
        <f t="shared" si="1"/>
        <v>0</v>
      </c>
      <c r="D69" s="29">
        <v>0</v>
      </c>
      <c r="E69" s="29" t="str">
        <f t="shared" si="3"/>
        <v/>
      </c>
      <c r="F69" s="32"/>
      <c r="G69" s="30" t="s">
        <v>50</v>
      </c>
      <c r="H69" s="29">
        <v>0</v>
      </c>
      <c r="I69" s="29"/>
      <c r="J69" s="32"/>
      <c r="K69" s="30" t="s">
        <v>50</v>
      </c>
      <c r="L69" s="29">
        <v>0</v>
      </c>
      <c r="M69" s="6"/>
    </row>
    <row r="70" spans="1:13" x14ac:dyDescent="0.25">
      <c r="A70" s="29">
        <v>13</v>
      </c>
      <c r="B70" s="30" t="s">
        <v>107</v>
      </c>
      <c r="C70" s="31">
        <v>13</v>
      </c>
      <c r="D70" s="29">
        <v>2</v>
      </c>
      <c r="E70" s="29" t="str">
        <f t="shared" si="3"/>
        <v/>
      </c>
      <c r="F70" s="32"/>
      <c r="G70" s="30" t="s">
        <v>107</v>
      </c>
      <c r="H70" s="29">
        <v>0</v>
      </c>
      <c r="I70" s="29"/>
      <c r="J70" s="32"/>
      <c r="K70" s="30" t="s">
        <v>107</v>
      </c>
      <c r="L70" s="29">
        <v>0</v>
      </c>
      <c r="M70" s="6"/>
    </row>
    <row r="71" spans="1:13" ht="51" x14ac:dyDescent="0.25">
      <c r="A71" s="29">
        <v>5</v>
      </c>
      <c r="B71" s="44" t="s">
        <v>145</v>
      </c>
      <c r="C71" s="31">
        <v>3</v>
      </c>
      <c r="D71" s="29">
        <v>6</v>
      </c>
      <c r="E71" s="29" t="str">
        <f t="shared" si="3"/>
        <v>Place Order</v>
      </c>
      <c r="F71" s="32"/>
      <c r="G71" s="30" t="s">
        <v>33</v>
      </c>
      <c r="H71" s="29">
        <v>0</v>
      </c>
      <c r="I71" s="29"/>
      <c r="J71" s="32"/>
      <c r="K71" s="30" t="s">
        <v>33</v>
      </c>
      <c r="L71" s="29">
        <v>2</v>
      </c>
      <c r="M71" s="28"/>
    </row>
    <row r="72" spans="1:13" x14ac:dyDescent="0.25">
      <c r="A72" s="29">
        <v>2</v>
      </c>
      <c r="B72" s="30" t="s">
        <v>62</v>
      </c>
      <c r="C72" s="31">
        <f t="shared" ref="C72:C73" si="4">A72+H72-L72</f>
        <v>2</v>
      </c>
      <c r="D72" s="29">
        <v>1</v>
      </c>
      <c r="E72" s="29" t="str">
        <f t="shared" si="3"/>
        <v/>
      </c>
      <c r="F72" s="32"/>
      <c r="G72" s="30" t="s">
        <v>62</v>
      </c>
      <c r="H72" s="29">
        <v>0</v>
      </c>
      <c r="I72" s="29"/>
      <c r="J72" s="32"/>
      <c r="K72" s="30" t="s">
        <v>62</v>
      </c>
      <c r="L72" s="29">
        <v>0</v>
      </c>
      <c r="M72" s="6"/>
    </row>
    <row r="73" spans="1:13" x14ac:dyDescent="0.25">
      <c r="A73" s="29">
        <v>0</v>
      </c>
      <c r="B73" s="30" t="s">
        <v>57</v>
      </c>
      <c r="C73" s="31">
        <f t="shared" si="4"/>
        <v>0</v>
      </c>
      <c r="D73" s="29">
        <v>2</v>
      </c>
      <c r="E73" s="29" t="str">
        <f t="shared" si="3"/>
        <v>Place Order</v>
      </c>
      <c r="F73" s="32"/>
      <c r="G73" s="30" t="s">
        <v>57</v>
      </c>
      <c r="H73" s="29">
        <v>0</v>
      </c>
      <c r="I73" s="29"/>
      <c r="J73" s="32"/>
      <c r="K73" s="30" t="s">
        <v>57</v>
      </c>
      <c r="L73" s="29">
        <v>0</v>
      </c>
      <c r="M73" s="28"/>
    </row>
    <row r="74" spans="1:13" x14ac:dyDescent="0.25">
      <c r="A74" s="29">
        <v>42</v>
      </c>
      <c r="B74" s="28" t="s">
        <v>45</v>
      </c>
      <c r="C74" s="31">
        <v>40</v>
      </c>
      <c r="D74" s="29">
        <v>5</v>
      </c>
      <c r="E74" s="29" t="str">
        <f t="shared" si="3"/>
        <v/>
      </c>
      <c r="F74" s="32"/>
      <c r="G74" s="28" t="s">
        <v>45</v>
      </c>
      <c r="H74" s="29">
        <v>0</v>
      </c>
      <c r="I74" s="29"/>
      <c r="J74" s="32"/>
      <c r="K74" s="28" t="s">
        <v>45</v>
      </c>
      <c r="L74" s="29">
        <v>2</v>
      </c>
      <c r="M74" s="6"/>
    </row>
    <row r="75" spans="1:13" ht="26.25" x14ac:dyDescent="0.25">
      <c r="A75" s="29">
        <v>5</v>
      </c>
      <c r="B75" s="33" t="s">
        <v>140</v>
      </c>
      <c r="C75" s="31">
        <v>5</v>
      </c>
      <c r="D75" s="29">
        <v>2</v>
      </c>
      <c r="E75" s="29" t="str">
        <f t="shared" si="3"/>
        <v/>
      </c>
      <c r="F75" s="32"/>
      <c r="G75" s="33" t="s">
        <v>141</v>
      </c>
      <c r="H75" s="29">
        <v>0</v>
      </c>
      <c r="I75" s="29"/>
      <c r="J75" s="32"/>
      <c r="K75" s="33" t="s">
        <v>141</v>
      </c>
      <c r="L75" s="29">
        <v>0</v>
      </c>
      <c r="M75" s="6"/>
    </row>
    <row r="76" spans="1:13" ht="25.5" x14ac:dyDescent="0.25">
      <c r="A76" s="29">
        <v>10</v>
      </c>
      <c r="B76" s="44" t="s">
        <v>139</v>
      </c>
      <c r="C76" s="31">
        <v>10</v>
      </c>
      <c r="D76" s="29">
        <v>2</v>
      </c>
      <c r="E76" s="29" t="str">
        <f t="shared" si="3"/>
        <v/>
      </c>
      <c r="F76" s="32"/>
      <c r="G76" s="30" t="s">
        <v>103</v>
      </c>
      <c r="H76" s="29">
        <v>0</v>
      </c>
      <c r="I76" s="29"/>
      <c r="J76" s="32"/>
      <c r="K76" s="30" t="s">
        <v>103</v>
      </c>
      <c r="L76" s="29">
        <v>0</v>
      </c>
      <c r="M76" s="6"/>
    </row>
    <row r="77" spans="1:13" x14ac:dyDescent="0.25">
      <c r="A77" s="29">
        <v>0</v>
      </c>
      <c r="B77" s="30" t="s">
        <v>142</v>
      </c>
      <c r="C77" s="31">
        <v>0</v>
      </c>
      <c r="D77" s="29">
        <v>2</v>
      </c>
      <c r="E77" s="29" t="str">
        <f t="shared" si="3"/>
        <v>Place Order</v>
      </c>
      <c r="F77" s="32"/>
      <c r="G77" s="30" t="s">
        <v>35</v>
      </c>
      <c r="H77" s="29">
        <v>0</v>
      </c>
      <c r="I77" s="29"/>
      <c r="J77" s="32"/>
      <c r="K77" s="30" t="s">
        <v>35</v>
      </c>
      <c r="L77" s="29">
        <v>0</v>
      </c>
      <c r="M77" s="6"/>
    </row>
    <row r="78" spans="1:13" x14ac:dyDescent="0.25">
      <c r="A78" s="29">
        <v>1</v>
      </c>
      <c r="B78" s="28" t="s">
        <v>143</v>
      </c>
      <c r="C78" s="31">
        <v>1</v>
      </c>
      <c r="D78" s="29">
        <v>1</v>
      </c>
      <c r="E78" s="29" t="str">
        <f t="shared" si="3"/>
        <v/>
      </c>
      <c r="F78" s="32"/>
      <c r="G78" s="28" t="s">
        <v>90</v>
      </c>
      <c r="H78" s="29">
        <v>0</v>
      </c>
      <c r="I78" s="29"/>
      <c r="J78" s="32"/>
      <c r="K78" s="28" t="s">
        <v>90</v>
      </c>
      <c r="L78" s="29">
        <v>0</v>
      </c>
      <c r="M78" s="6"/>
    </row>
    <row r="79" spans="1:13" x14ac:dyDescent="0.25">
      <c r="A79" s="29">
        <v>5</v>
      </c>
      <c r="B79" s="30" t="s">
        <v>65</v>
      </c>
      <c r="C79" s="31">
        <v>5</v>
      </c>
      <c r="D79" s="29">
        <v>1</v>
      </c>
      <c r="E79" s="29" t="str">
        <f t="shared" si="3"/>
        <v/>
      </c>
      <c r="F79" s="32"/>
      <c r="G79" s="30" t="s">
        <v>65</v>
      </c>
      <c r="H79" s="29">
        <v>0</v>
      </c>
      <c r="I79" s="29"/>
      <c r="J79" s="32"/>
      <c r="K79" s="30" t="s">
        <v>65</v>
      </c>
      <c r="L79" s="29">
        <v>0</v>
      </c>
      <c r="M79" s="6"/>
    </row>
    <row r="80" spans="1:13" x14ac:dyDescent="0.25">
      <c r="A80" s="29">
        <v>9</v>
      </c>
      <c r="B80" s="30" t="s">
        <v>40</v>
      </c>
      <c r="C80" s="31">
        <v>8</v>
      </c>
      <c r="D80" s="29">
        <v>5</v>
      </c>
      <c r="E80" s="29" t="str">
        <f t="shared" si="3"/>
        <v/>
      </c>
      <c r="F80" s="32"/>
      <c r="G80" s="30" t="s">
        <v>40</v>
      </c>
      <c r="H80" s="29">
        <v>0</v>
      </c>
      <c r="I80" s="29"/>
      <c r="J80" s="32"/>
      <c r="K80" s="30" t="s">
        <v>40</v>
      </c>
      <c r="L80" s="29">
        <v>1</v>
      </c>
      <c r="M80" s="6"/>
    </row>
    <row r="81" spans="1:13" x14ac:dyDescent="0.25">
      <c r="A81" s="29">
        <v>54</v>
      </c>
      <c r="B81" s="30" t="s">
        <v>134</v>
      </c>
      <c r="C81" s="31">
        <v>54</v>
      </c>
      <c r="D81" s="29"/>
      <c r="E81" s="29"/>
      <c r="F81" s="32"/>
      <c r="G81" s="30" t="s">
        <v>134</v>
      </c>
      <c r="H81" s="29">
        <v>0</v>
      </c>
      <c r="I81" s="29"/>
      <c r="J81" s="32"/>
      <c r="K81" s="30" t="s">
        <v>134</v>
      </c>
      <c r="L81" s="29">
        <v>0</v>
      </c>
      <c r="M81" s="6"/>
    </row>
    <row r="82" spans="1:13" x14ac:dyDescent="0.25">
      <c r="A82" s="29">
        <v>95</v>
      </c>
      <c r="B82" s="30" t="s">
        <v>66</v>
      </c>
      <c r="C82" s="31">
        <v>95</v>
      </c>
      <c r="D82" s="29">
        <v>10</v>
      </c>
      <c r="E82" s="29" t="str">
        <f t="shared" si="3"/>
        <v/>
      </c>
      <c r="F82" s="32"/>
      <c r="G82" s="30" t="s">
        <v>66</v>
      </c>
      <c r="H82" s="29">
        <v>0</v>
      </c>
      <c r="I82" s="29"/>
      <c r="J82" s="32"/>
      <c r="K82" s="30" t="s">
        <v>66</v>
      </c>
      <c r="L82" s="29">
        <v>0</v>
      </c>
      <c r="M82" s="6"/>
    </row>
    <row r="83" spans="1:13" x14ac:dyDescent="0.25">
      <c r="A83" s="34">
        <v>1</v>
      </c>
      <c r="B83" s="35" t="s">
        <v>144</v>
      </c>
      <c r="C83" s="36">
        <v>1</v>
      </c>
      <c r="D83" s="34">
        <v>2</v>
      </c>
      <c r="E83" s="34" t="str">
        <f t="shared" si="3"/>
        <v>Place Order</v>
      </c>
      <c r="F83" s="37"/>
      <c r="G83" s="35" t="s">
        <v>144</v>
      </c>
      <c r="H83" s="34">
        <v>2</v>
      </c>
      <c r="I83" s="37"/>
      <c r="J83" s="37"/>
      <c r="K83" s="35" t="s">
        <v>144</v>
      </c>
      <c r="L83" s="34">
        <v>2</v>
      </c>
    </row>
    <row r="84" spans="1:13" x14ac:dyDescent="0.25">
      <c r="A84" s="34">
        <v>335</v>
      </c>
      <c r="B84" s="35" t="s">
        <v>185</v>
      </c>
      <c r="C84" s="36">
        <v>335</v>
      </c>
      <c r="D84" s="37"/>
      <c r="E84" s="37"/>
      <c r="F84" s="37"/>
      <c r="G84" s="37" t="s">
        <v>186</v>
      </c>
      <c r="H84" s="91">
        <v>0</v>
      </c>
      <c r="I84" s="37"/>
      <c r="J84" s="37"/>
      <c r="K84" s="37" t="s">
        <v>186</v>
      </c>
      <c r="L84" s="91">
        <v>0</v>
      </c>
      <c r="M84" s="51"/>
    </row>
    <row r="85" spans="1:13" x14ac:dyDescent="0.2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</row>
    <row r="86" spans="1:13" x14ac:dyDescent="0.25">
      <c r="B86" t="s">
        <v>118</v>
      </c>
      <c r="D86" t="s">
        <v>118</v>
      </c>
      <c r="G86" t="s">
        <v>118</v>
      </c>
      <c r="K86" t="s">
        <v>118</v>
      </c>
    </row>
    <row r="87" spans="1:13" x14ac:dyDescent="0.25">
      <c r="B87" t="s">
        <v>115</v>
      </c>
      <c r="D87" s="52" t="s">
        <v>122</v>
      </c>
      <c r="E87" s="52"/>
      <c r="G87" t="s">
        <v>114</v>
      </c>
      <c r="K87" t="s">
        <v>125</v>
      </c>
    </row>
    <row r="88" spans="1:13" x14ac:dyDescent="0.25">
      <c r="B88" t="s">
        <v>126</v>
      </c>
      <c r="D88" s="52" t="s">
        <v>116</v>
      </c>
      <c r="E88" s="52"/>
      <c r="G88" t="s">
        <v>119</v>
      </c>
      <c r="K88" t="s">
        <v>149</v>
      </c>
    </row>
    <row r="89" spans="1:13" x14ac:dyDescent="0.25">
      <c r="B89" t="s">
        <v>127</v>
      </c>
      <c r="D89" t="s">
        <v>117</v>
      </c>
      <c r="G89" t="s">
        <v>120</v>
      </c>
      <c r="K89" t="s">
        <v>121</v>
      </c>
    </row>
    <row r="100" spans="6:8" x14ac:dyDescent="0.25">
      <c r="F100">
        <f>34-13</f>
        <v>21</v>
      </c>
      <c r="G100">
        <v>34</v>
      </c>
      <c r="H100">
        <v>13</v>
      </c>
    </row>
  </sheetData>
  <sortState xmlns:xlrd2="http://schemas.microsoft.com/office/spreadsheetml/2017/richdata2" ref="B6:B82">
    <sortCondition ref="B6:B82"/>
  </sortState>
  <mergeCells count="11">
    <mergeCell ref="D87:E87"/>
    <mergeCell ref="D88:E88"/>
    <mergeCell ref="A1:M1"/>
    <mergeCell ref="A4:A5"/>
    <mergeCell ref="B4:C4"/>
    <mergeCell ref="D4:D5"/>
    <mergeCell ref="E4:E5"/>
    <mergeCell ref="A2:M2"/>
    <mergeCell ref="F4:I4"/>
    <mergeCell ref="J4:M4"/>
    <mergeCell ref="A3:M3"/>
  </mergeCells>
  <conditionalFormatting sqref="B32">
    <cfRule type="duplicateValues" dxfId="37" priority="29"/>
  </conditionalFormatting>
  <conditionalFormatting sqref="B33 B25 B30:B31">
    <cfRule type="duplicateValues" dxfId="36" priority="121"/>
  </conditionalFormatting>
  <conditionalFormatting sqref="B38">
    <cfRule type="duplicateValues" dxfId="35" priority="28"/>
  </conditionalFormatting>
  <conditionalFormatting sqref="B69 B40:B43 B56:B67 B53 B49:B51 B71:B84">
    <cfRule type="duplicateValues" dxfId="34" priority="148"/>
  </conditionalFormatting>
  <conditionalFormatting sqref="E6:E83">
    <cfRule type="containsText" dxfId="33" priority="31" operator="containsText" text="Place Order">
      <formula>NOT(ISERROR(SEARCH("Place Order",E6)))</formula>
    </cfRule>
    <cfRule type="containsText" dxfId="32" priority="32" operator="containsText" text="Place Order">
      <formula>NOT(ISERROR(SEARCH("Place Order",E6)))</formula>
    </cfRule>
    <cfRule type="containsText" dxfId="31" priority="33" operator="containsText" text="Place Order">
      <formula>NOT(ISERROR(SEARCH("Place Order",E6)))</formula>
    </cfRule>
  </conditionalFormatting>
  <conditionalFormatting sqref="G32">
    <cfRule type="duplicateValues" dxfId="30" priority="25"/>
  </conditionalFormatting>
  <conditionalFormatting sqref="G33 G25 G30:G31">
    <cfRule type="duplicateValues" dxfId="29" priority="135"/>
  </conditionalFormatting>
  <conditionalFormatting sqref="G38">
    <cfRule type="duplicateValues" dxfId="28" priority="24"/>
  </conditionalFormatting>
  <conditionalFormatting sqref="G50">
    <cfRule type="duplicateValues" dxfId="27" priority="3"/>
  </conditionalFormatting>
  <conditionalFormatting sqref="G57">
    <cfRule type="duplicateValues" dxfId="26" priority="19"/>
  </conditionalFormatting>
  <conditionalFormatting sqref="G62:G63">
    <cfRule type="duplicateValues" dxfId="25" priority="13"/>
  </conditionalFormatting>
  <conditionalFormatting sqref="G71:G74 G40:G43 G69 G49 G56 G53 G58:G61 G64:G67 G82 G76:G80 G51">
    <cfRule type="duplicateValues" dxfId="24" priority="27"/>
  </conditionalFormatting>
  <conditionalFormatting sqref="G75">
    <cfRule type="duplicateValues" dxfId="23" priority="9"/>
  </conditionalFormatting>
  <conditionalFormatting sqref="G81">
    <cfRule type="duplicateValues" dxfId="22" priority="11"/>
  </conditionalFormatting>
  <conditionalFormatting sqref="G83">
    <cfRule type="duplicateValues" dxfId="21" priority="7"/>
  </conditionalFormatting>
  <conditionalFormatting sqref="K32">
    <cfRule type="duplicateValues" dxfId="20" priority="21"/>
  </conditionalFormatting>
  <conditionalFormatting sqref="K33 K25 K30:K31">
    <cfRule type="duplicateValues" dxfId="19" priority="147"/>
  </conditionalFormatting>
  <conditionalFormatting sqref="K38">
    <cfRule type="duplicateValues" dxfId="18" priority="20"/>
  </conditionalFormatting>
  <conditionalFormatting sqref="K50">
    <cfRule type="duplicateValues" dxfId="17" priority="1"/>
  </conditionalFormatting>
  <conditionalFormatting sqref="K57">
    <cfRule type="duplicateValues" dxfId="16" priority="18"/>
  </conditionalFormatting>
  <conditionalFormatting sqref="K62:K63">
    <cfRule type="duplicateValues" dxfId="15" priority="12"/>
  </conditionalFormatting>
  <conditionalFormatting sqref="K71:K74 K40:K43 K69 K49 K56 K53 K58:K61 K64:K67 K82 K76:K80 K51">
    <cfRule type="duplicateValues" dxfId="14" priority="23"/>
  </conditionalFormatting>
  <conditionalFormatting sqref="K75">
    <cfRule type="duplicateValues" dxfId="13" priority="8"/>
  </conditionalFormatting>
  <conditionalFormatting sqref="K81">
    <cfRule type="duplicateValues" dxfId="12" priority="10"/>
  </conditionalFormatting>
  <conditionalFormatting sqref="K83">
    <cfRule type="duplicateValues" dxfId="11" priority="5"/>
  </conditionalFormatting>
  <dataValidations count="2">
    <dataValidation type="list" allowBlank="1" showInputMessage="1" showErrorMessage="1" sqref="B68" xr:uid="{73B7A2D2-7885-4EA6-9A26-6B1EEFA14508}">
      <formula1>#REF!</formula1>
    </dataValidation>
    <dataValidation type="list" allowBlank="1" showInputMessage="1" showErrorMessage="1" sqref="K82 K51:K54 K46:K49 G46:G49 K64:K74 G64:G74 G25:G43 G51:G54 K58:K61 G58:G61 K76:K80 G82 K6:K23 G56 K56 K25:K43 G76:G80 G6:G23" xr:uid="{B2E4B3D0-D06E-4053-9665-0E6E51689F43}">
      <formula1>$B$6:$B$82</formula1>
    </dataValidation>
  </dataValidations>
  <pageMargins left="0.70866141732283472" right="0.70866141732283472" top="0.74803149606299213" bottom="0.74803149606299213" header="0.31496062992125984" footer="0.31496062992125984"/>
  <pageSetup paperSize="9" scale="57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F1EBB-42ED-42E7-96B9-C6F024BC6852}">
  <dimension ref="A1:N91"/>
  <sheetViews>
    <sheetView tabSelected="1" view="pageBreakPreview" zoomScaleNormal="100" zoomScaleSheetLayoutView="100" workbookViewId="0">
      <selection activeCell="F6" sqref="F6"/>
    </sheetView>
  </sheetViews>
  <sheetFormatPr defaultColWidth="9.140625" defaultRowHeight="14.25" x14ac:dyDescent="0.2"/>
  <cols>
    <col min="1" max="1" width="32.140625" style="19" bestFit="1" customWidth="1"/>
    <col min="2" max="2" width="9.140625" style="19"/>
    <col min="3" max="3" width="11" style="19" customWidth="1"/>
    <col min="4" max="4" width="13.7109375" style="19" bestFit="1" customWidth="1"/>
    <col min="5" max="5" width="5.42578125" style="19" customWidth="1"/>
    <col min="6" max="6" width="30.7109375" style="19" bestFit="1" customWidth="1"/>
    <col min="7" max="8" width="12.7109375" style="19" customWidth="1"/>
    <col min="9" max="9" width="13.28515625" style="19" bestFit="1" customWidth="1"/>
    <col min="10" max="10" width="5.5703125" style="19" customWidth="1"/>
    <col min="11" max="11" width="28.140625" style="19" bestFit="1" customWidth="1"/>
    <col min="12" max="12" width="12.85546875" style="19" customWidth="1"/>
    <col min="13" max="13" width="12.7109375" style="19" customWidth="1"/>
    <col min="14" max="14" width="15.42578125" style="19" bestFit="1" customWidth="1"/>
    <col min="15" max="16384" width="9.140625" style="19"/>
  </cols>
  <sheetData>
    <row r="1" spans="1:14" ht="25.9" customHeight="1" thickBot="1" x14ac:dyDescent="0.3">
      <c r="A1" s="83" t="s">
        <v>167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5"/>
    </row>
    <row r="2" spans="1:14" ht="24.6" customHeight="1" thickBot="1" x14ac:dyDescent="0.3">
      <c r="A2" s="86" t="s">
        <v>200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8"/>
    </row>
    <row r="3" spans="1:14" ht="22.15" customHeight="1" x14ac:dyDescent="0.2">
      <c r="A3" s="90" t="s">
        <v>199</v>
      </c>
      <c r="B3" s="90"/>
      <c r="C3" s="90"/>
      <c r="D3" s="90"/>
      <c r="E3" s="13"/>
      <c r="F3" s="90" t="s">
        <v>201</v>
      </c>
      <c r="G3" s="90"/>
      <c r="H3" s="90"/>
      <c r="I3" s="90"/>
      <c r="J3" s="13"/>
      <c r="K3" s="90" t="s">
        <v>202</v>
      </c>
      <c r="L3" s="90"/>
      <c r="M3" s="90"/>
      <c r="N3" s="90"/>
    </row>
    <row r="4" spans="1:14" ht="20.45" customHeight="1" x14ac:dyDescent="0.2">
      <c r="A4" s="15" t="s">
        <v>2</v>
      </c>
      <c r="B4" s="15" t="s">
        <v>3</v>
      </c>
      <c r="C4" s="15" t="s">
        <v>111</v>
      </c>
      <c r="D4" s="15" t="s">
        <v>110</v>
      </c>
      <c r="E4" s="16"/>
      <c r="F4" s="15" t="s">
        <v>2</v>
      </c>
      <c r="G4" s="15" t="s">
        <v>3</v>
      </c>
      <c r="H4" s="15" t="s">
        <v>111</v>
      </c>
      <c r="I4" s="15" t="s">
        <v>110</v>
      </c>
      <c r="J4" s="16"/>
      <c r="K4" s="15" t="s">
        <v>2</v>
      </c>
      <c r="L4" s="15" t="s">
        <v>3</v>
      </c>
      <c r="M4" s="15" t="s">
        <v>111</v>
      </c>
      <c r="N4" s="15" t="s">
        <v>110</v>
      </c>
    </row>
    <row r="5" spans="1:14" ht="19.899999999999999" customHeight="1" x14ac:dyDescent="0.2">
      <c r="A5" s="4" t="s">
        <v>7</v>
      </c>
      <c r="B5" s="5">
        <f>+'Grocery Items'!L5</f>
        <v>13</v>
      </c>
      <c r="C5" s="20">
        <v>1649</v>
      </c>
      <c r="D5" s="17">
        <f>C5*B5</f>
        <v>21437</v>
      </c>
      <c r="E5" s="14"/>
      <c r="F5" s="4" t="s">
        <v>10</v>
      </c>
      <c r="G5" s="5">
        <f>+'Janitorial Items'!N5</f>
        <v>0</v>
      </c>
      <c r="H5" s="21">
        <v>481</v>
      </c>
      <c r="I5" s="17">
        <f>H5*G5</f>
        <v>0</v>
      </c>
      <c r="J5" s="14"/>
      <c r="K5" s="28" t="s">
        <v>78</v>
      </c>
      <c r="L5" s="29">
        <v>0</v>
      </c>
      <c r="M5" s="42">
        <v>112</v>
      </c>
      <c r="N5" s="41">
        <f>M5*L5</f>
        <v>0</v>
      </c>
    </row>
    <row r="6" spans="1:14" ht="19.899999999999999" customHeight="1" x14ac:dyDescent="0.2">
      <c r="A6" s="4" t="s">
        <v>9</v>
      </c>
      <c r="B6" s="5">
        <f>+'Grocery Items'!L6</f>
        <v>7</v>
      </c>
      <c r="C6" s="20">
        <v>151</v>
      </c>
      <c r="D6" s="17">
        <f t="shared" ref="D6:D12" si="0">C6*B6</f>
        <v>1057</v>
      </c>
      <c r="E6" s="14"/>
      <c r="F6" s="4" t="s">
        <v>11</v>
      </c>
      <c r="G6" s="5">
        <f>+'Janitorial Items'!N6</f>
        <v>2</v>
      </c>
      <c r="H6" s="20">
        <v>300</v>
      </c>
      <c r="I6" s="17">
        <f t="shared" ref="I6:I39" si="1">H6*G6</f>
        <v>600</v>
      </c>
      <c r="J6" s="14"/>
      <c r="K6" s="28" t="s">
        <v>69</v>
      </c>
      <c r="L6" s="29">
        <f>+'Stationery Items Stock Sheet '!L7</f>
        <v>0</v>
      </c>
      <c r="M6" s="42">
        <v>20</v>
      </c>
      <c r="N6" s="41">
        <f t="shared" ref="N6:N77" si="2">M6*L6</f>
        <v>0</v>
      </c>
    </row>
    <row r="7" spans="1:14" ht="19.899999999999999" customHeight="1" x14ac:dyDescent="0.2">
      <c r="A7" s="4" t="s">
        <v>104</v>
      </c>
      <c r="B7" s="5">
        <f>+'Grocery Items'!L7</f>
        <v>11</v>
      </c>
      <c r="C7" s="20">
        <v>1152</v>
      </c>
      <c r="D7" s="17">
        <f t="shared" si="0"/>
        <v>12672</v>
      </c>
      <c r="E7" s="14"/>
      <c r="F7" s="6" t="s">
        <v>99</v>
      </c>
      <c r="G7" s="5">
        <f>+'Janitorial Items'!N8</f>
        <v>0</v>
      </c>
      <c r="H7" s="20">
        <v>400</v>
      </c>
      <c r="I7" s="17">
        <f t="shared" si="1"/>
        <v>0</v>
      </c>
      <c r="J7" s="14"/>
      <c r="K7" s="28" t="s">
        <v>70</v>
      </c>
      <c r="L7" s="29">
        <f>+'Stationery Items Stock Sheet '!L9</f>
        <v>0</v>
      </c>
      <c r="M7" s="42">
        <v>12</v>
      </c>
      <c r="N7" s="41">
        <f t="shared" si="2"/>
        <v>0</v>
      </c>
    </row>
    <row r="8" spans="1:14" ht="19.899999999999999" customHeight="1" x14ac:dyDescent="0.2">
      <c r="A8" s="4"/>
      <c r="B8" s="5"/>
      <c r="C8" s="20"/>
      <c r="D8" s="17"/>
      <c r="E8" s="14"/>
      <c r="F8" s="6"/>
      <c r="G8" s="5"/>
      <c r="H8" s="20"/>
      <c r="I8" s="17"/>
      <c r="J8" s="14"/>
      <c r="K8" s="28"/>
      <c r="L8" s="29"/>
      <c r="M8" s="42"/>
      <c r="N8" s="41"/>
    </row>
    <row r="9" spans="1:14" ht="19.899999999999999" customHeight="1" x14ac:dyDescent="0.2">
      <c r="A9" s="4" t="s">
        <v>105</v>
      </c>
      <c r="B9" s="5">
        <f>+'Grocery Items'!L8</f>
        <v>2</v>
      </c>
      <c r="C9" s="20">
        <v>245</v>
      </c>
      <c r="D9" s="17">
        <f t="shared" si="0"/>
        <v>490</v>
      </c>
      <c r="E9" s="14"/>
      <c r="F9" s="4" t="s">
        <v>23</v>
      </c>
      <c r="G9" s="5">
        <f>+'Janitorial Items'!N9</f>
        <v>2</v>
      </c>
      <c r="H9" s="21">
        <v>400</v>
      </c>
      <c r="I9" s="17">
        <f>H9*G9</f>
        <v>800</v>
      </c>
      <c r="J9" s="14"/>
      <c r="K9" s="28" t="s">
        <v>79</v>
      </c>
      <c r="L9" s="29">
        <v>0</v>
      </c>
      <c r="M9" s="42">
        <v>20</v>
      </c>
      <c r="N9" s="41">
        <f t="shared" si="2"/>
        <v>0</v>
      </c>
    </row>
    <row r="10" spans="1:14" ht="19.899999999999999" customHeight="1" x14ac:dyDescent="0.2">
      <c r="A10" s="30" t="s">
        <v>155</v>
      </c>
      <c r="B10" s="5">
        <v>1</v>
      </c>
      <c r="C10" s="20">
        <v>1954</v>
      </c>
      <c r="D10" s="17"/>
      <c r="E10" s="14"/>
      <c r="F10" s="4"/>
      <c r="G10" s="5"/>
      <c r="H10" s="20"/>
      <c r="I10" s="17"/>
      <c r="J10" s="14"/>
      <c r="K10" s="28"/>
      <c r="L10" s="29"/>
      <c r="M10" s="42"/>
      <c r="N10" s="41"/>
    </row>
    <row r="11" spans="1:14" ht="19.899999999999999" customHeight="1" x14ac:dyDescent="0.2">
      <c r="A11" s="4" t="s">
        <v>8</v>
      </c>
      <c r="B11" s="5">
        <f>+'Grocery Items'!L9</f>
        <v>1</v>
      </c>
      <c r="C11" s="23">
        <v>3708</v>
      </c>
      <c r="D11" s="17">
        <v>3708</v>
      </c>
      <c r="E11" s="14"/>
      <c r="F11" s="4" t="s">
        <v>168</v>
      </c>
      <c r="G11" s="5">
        <f>+'Janitorial Items'!N10</f>
        <v>2</v>
      </c>
      <c r="H11" s="20">
        <v>470</v>
      </c>
      <c r="I11" s="17">
        <f t="shared" si="1"/>
        <v>940</v>
      </c>
      <c r="J11" s="14"/>
      <c r="K11" s="28" t="s">
        <v>71</v>
      </c>
      <c r="L11" s="29">
        <v>0</v>
      </c>
      <c r="M11" s="42">
        <v>20</v>
      </c>
      <c r="N11" s="41">
        <f t="shared" si="2"/>
        <v>0</v>
      </c>
    </row>
    <row r="12" spans="1:14" ht="19.899999999999999" customHeight="1" x14ac:dyDescent="0.2">
      <c r="A12" s="4" t="s">
        <v>94</v>
      </c>
      <c r="B12" s="5">
        <f>+'Grocery Items'!L10</f>
        <v>0</v>
      </c>
      <c r="C12" s="23">
        <v>40</v>
      </c>
      <c r="D12" s="17">
        <f t="shared" si="0"/>
        <v>0</v>
      </c>
      <c r="E12" s="14"/>
      <c r="F12" s="4" t="s">
        <v>24</v>
      </c>
      <c r="G12" s="5">
        <f>+'Janitorial Items'!N12</f>
        <v>0</v>
      </c>
      <c r="H12" s="22">
        <v>128.32</v>
      </c>
      <c r="I12" s="17">
        <f t="shared" si="1"/>
        <v>0</v>
      </c>
      <c r="J12" s="14"/>
      <c r="K12" s="28" t="s">
        <v>72</v>
      </c>
      <c r="L12" s="29">
        <f>+'Stationery Items Stock Sheet '!L13</f>
        <v>0</v>
      </c>
      <c r="M12" s="42">
        <v>30</v>
      </c>
      <c r="N12" s="41">
        <f t="shared" si="2"/>
        <v>0</v>
      </c>
    </row>
    <row r="13" spans="1:14" ht="19.899999999999999" customHeight="1" x14ac:dyDescent="0.2">
      <c r="A13" s="89" t="s">
        <v>112</v>
      </c>
      <c r="B13" s="89"/>
      <c r="C13" s="89"/>
      <c r="D13" s="24">
        <f>SUM(D5:D12)</f>
        <v>39364</v>
      </c>
      <c r="E13" s="14"/>
      <c r="F13" s="4" t="s">
        <v>169</v>
      </c>
      <c r="G13" s="5">
        <v>6</v>
      </c>
      <c r="H13" s="21">
        <v>536</v>
      </c>
      <c r="I13" s="17">
        <f t="shared" si="1"/>
        <v>3216</v>
      </c>
      <c r="J13" s="14"/>
      <c r="K13" s="28" t="s">
        <v>73</v>
      </c>
      <c r="L13" s="29">
        <f>+'Stationery Items Stock Sheet '!L14</f>
        <v>0</v>
      </c>
      <c r="M13" s="42">
        <v>12</v>
      </c>
      <c r="N13" s="41">
        <f t="shared" si="2"/>
        <v>0</v>
      </c>
    </row>
    <row r="14" spans="1:14" ht="19.899999999999999" customHeight="1" x14ac:dyDescent="0.2">
      <c r="A14" s="14"/>
      <c r="B14" s="14"/>
      <c r="C14" s="14"/>
      <c r="D14" s="14"/>
      <c r="E14" s="14"/>
      <c r="F14" s="4" t="s">
        <v>163</v>
      </c>
      <c r="G14" s="5">
        <f>+'Janitorial Items'!N14</f>
        <v>3</v>
      </c>
      <c r="H14" s="20">
        <v>296</v>
      </c>
      <c r="I14" s="17">
        <f t="shared" si="1"/>
        <v>888</v>
      </c>
      <c r="J14" s="14"/>
      <c r="K14" s="28" t="s">
        <v>80</v>
      </c>
      <c r="L14" s="29">
        <f>+'Stationery Items Stock Sheet '!L15</f>
        <v>0</v>
      </c>
      <c r="M14" s="42">
        <v>90</v>
      </c>
      <c r="N14" s="41">
        <f t="shared" si="2"/>
        <v>0</v>
      </c>
    </row>
    <row r="15" spans="1:14" ht="19.899999999999999" customHeight="1" x14ac:dyDescent="0.25">
      <c r="A15" s="14"/>
      <c r="B15" s="14"/>
      <c r="C15" s="14"/>
      <c r="D15" s="14"/>
      <c r="E15" s="14"/>
      <c r="F15" s="4" t="s">
        <v>129</v>
      </c>
      <c r="G15" s="5">
        <f>+'Janitorial Items'!N15</f>
        <v>3</v>
      </c>
      <c r="H15" s="21">
        <v>251</v>
      </c>
      <c r="I15" s="17">
        <f t="shared" si="1"/>
        <v>753</v>
      </c>
      <c r="J15" s="14"/>
      <c r="K15" s="30" t="s">
        <v>46</v>
      </c>
      <c r="L15" s="29">
        <f>+'Stationery Items Stock Sheet '!L16</f>
        <v>0</v>
      </c>
      <c r="M15" s="43">
        <v>15</v>
      </c>
      <c r="N15" s="41">
        <f t="shared" si="2"/>
        <v>0</v>
      </c>
    </row>
    <row r="16" spans="1:14" ht="19.899999999999999" customHeight="1" x14ac:dyDescent="0.25">
      <c r="A16" s="14"/>
      <c r="B16" s="14"/>
      <c r="C16" s="14"/>
      <c r="D16" s="14"/>
      <c r="E16" s="14"/>
      <c r="F16" s="4" t="s">
        <v>13</v>
      </c>
      <c r="G16" s="5">
        <f>+'Janitorial Items'!N16</f>
        <v>0</v>
      </c>
      <c r="H16" s="20">
        <v>1202.01</v>
      </c>
      <c r="I16" s="17">
        <f t="shared" si="1"/>
        <v>0</v>
      </c>
      <c r="J16" s="14"/>
      <c r="K16" s="30" t="s">
        <v>47</v>
      </c>
      <c r="L16" s="29">
        <f>+'Stationery Items Stock Sheet '!L17</f>
        <v>10</v>
      </c>
      <c r="M16" s="43">
        <v>15</v>
      </c>
      <c r="N16" s="41">
        <f t="shared" si="2"/>
        <v>150</v>
      </c>
    </row>
    <row r="17" spans="1:14" ht="19.899999999999999" customHeight="1" x14ac:dyDescent="0.25">
      <c r="A17" s="14"/>
      <c r="B17" s="14"/>
      <c r="C17" s="14"/>
      <c r="D17" s="14"/>
      <c r="E17" s="14"/>
      <c r="F17" s="4" t="s">
        <v>14</v>
      </c>
      <c r="G17" s="5">
        <f>+'Janitorial Items'!N17</f>
        <v>0</v>
      </c>
      <c r="H17" s="18">
        <v>500</v>
      </c>
      <c r="I17" s="17">
        <f t="shared" si="1"/>
        <v>0</v>
      </c>
      <c r="J17" s="14"/>
      <c r="K17" s="28" t="s">
        <v>68</v>
      </c>
      <c r="L17" s="29">
        <f>+'Stationery Items Stock Sheet '!L18</f>
        <v>4</v>
      </c>
      <c r="M17" s="40">
        <v>75</v>
      </c>
      <c r="N17" s="41">
        <f t="shared" si="2"/>
        <v>300</v>
      </c>
    </row>
    <row r="18" spans="1:14" ht="19.899999999999999" customHeight="1" x14ac:dyDescent="0.25">
      <c r="A18" s="14"/>
      <c r="B18" s="14"/>
      <c r="C18" s="14"/>
      <c r="D18" s="14"/>
      <c r="E18" s="14"/>
      <c r="F18" s="4" t="s">
        <v>15</v>
      </c>
      <c r="G18" s="5">
        <f>+'Janitorial Items'!N18</f>
        <v>0</v>
      </c>
      <c r="H18" s="21">
        <v>1151.8800000000001</v>
      </c>
      <c r="I18" s="17">
        <f t="shared" si="1"/>
        <v>0</v>
      </c>
      <c r="J18" s="14"/>
      <c r="K18" s="30" t="s">
        <v>59</v>
      </c>
      <c r="L18" s="29">
        <f>+'Stationery Items Stock Sheet '!L19</f>
        <v>0</v>
      </c>
      <c r="M18" s="40">
        <v>45</v>
      </c>
      <c r="N18" s="41">
        <f t="shared" si="2"/>
        <v>0</v>
      </c>
    </row>
    <row r="19" spans="1:14" ht="19.899999999999999" customHeight="1" x14ac:dyDescent="0.25">
      <c r="A19" s="14"/>
      <c r="B19" s="14"/>
      <c r="C19" s="14"/>
      <c r="D19" s="14"/>
      <c r="E19" s="14"/>
      <c r="F19" s="4" t="s">
        <v>170</v>
      </c>
      <c r="G19" s="5">
        <f>+'Janitorial Items'!N19</f>
        <v>2</v>
      </c>
      <c r="H19" s="20">
        <v>400</v>
      </c>
      <c r="I19" s="17">
        <f t="shared" si="1"/>
        <v>800</v>
      </c>
      <c r="J19" s="14"/>
      <c r="K19" s="30" t="s">
        <v>58</v>
      </c>
      <c r="L19" s="29">
        <f>+'Stationery Items Stock Sheet '!L20</f>
        <v>0</v>
      </c>
      <c r="M19" s="40">
        <v>20</v>
      </c>
      <c r="N19" s="41">
        <f t="shared" si="2"/>
        <v>0</v>
      </c>
    </row>
    <row r="20" spans="1:14" ht="19.899999999999999" customHeight="1" x14ac:dyDescent="0.25">
      <c r="A20" s="14"/>
      <c r="B20" s="14"/>
      <c r="C20" s="14"/>
      <c r="D20" s="14"/>
      <c r="E20" s="14"/>
      <c r="F20" s="4" t="s">
        <v>25</v>
      </c>
      <c r="G20" s="5">
        <f>+'Janitorial Items'!N20</f>
        <v>2</v>
      </c>
      <c r="H20" s="20">
        <v>271</v>
      </c>
      <c r="I20" s="17">
        <f t="shared" si="1"/>
        <v>542</v>
      </c>
      <c r="J20" s="14"/>
      <c r="K20" s="30" t="s">
        <v>60</v>
      </c>
      <c r="L20" s="29">
        <f>+'Stationery Items Stock Sheet '!L21</f>
        <v>0</v>
      </c>
      <c r="M20" s="40">
        <v>160</v>
      </c>
      <c r="N20" s="41">
        <f t="shared" si="2"/>
        <v>0</v>
      </c>
    </row>
    <row r="21" spans="1:14" ht="19.899999999999999" customHeight="1" x14ac:dyDescent="0.2">
      <c r="A21" s="14"/>
      <c r="B21" s="14"/>
      <c r="C21" s="14">
        <f>296+296</f>
        <v>592</v>
      </c>
      <c r="D21" s="14"/>
      <c r="E21" s="14"/>
      <c r="F21" s="4" t="s">
        <v>26</v>
      </c>
      <c r="G21" s="5">
        <f>+'Janitorial Items'!N21</f>
        <v>0</v>
      </c>
      <c r="H21" s="20">
        <v>54.14</v>
      </c>
      <c r="I21" s="17">
        <f t="shared" si="1"/>
        <v>0</v>
      </c>
      <c r="J21" s="14"/>
      <c r="K21" s="30" t="s">
        <v>43</v>
      </c>
      <c r="L21" s="29">
        <f>+'Stationery Items Stock Sheet '!L22</f>
        <v>0</v>
      </c>
      <c r="M21" s="42">
        <v>80</v>
      </c>
      <c r="N21" s="41">
        <f t="shared" si="2"/>
        <v>0</v>
      </c>
    </row>
    <row r="22" spans="1:14" ht="19.899999999999999" customHeight="1" x14ac:dyDescent="0.25">
      <c r="A22" s="14"/>
      <c r="B22" s="14"/>
      <c r="C22" s="14"/>
      <c r="D22" s="14"/>
      <c r="E22" s="14"/>
      <c r="F22" s="4" t="s">
        <v>96</v>
      </c>
      <c r="G22" s="5">
        <f>+'Janitorial Items'!N22</f>
        <v>1</v>
      </c>
      <c r="H22" s="20">
        <v>551</v>
      </c>
      <c r="I22" s="17">
        <f t="shared" si="1"/>
        <v>551</v>
      </c>
      <c r="J22" s="14"/>
      <c r="K22" s="33" t="s">
        <v>91</v>
      </c>
      <c r="L22" s="29">
        <f>+'Stationery Items Stock Sheet '!L23</f>
        <v>0</v>
      </c>
      <c r="M22" s="40">
        <v>50</v>
      </c>
      <c r="N22" s="41">
        <f t="shared" si="2"/>
        <v>0</v>
      </c>
    </row>
    <row r="23" spans="1:14" ht="19.899999999999999" customHeight="1" x14ac:dyDescent="0.25">
      <c r="A23" s="14"/>
      <c r="B23" s="14"/>
      <c r="C23" s="14"/>
      <c r="D23" s="14"/>
      <c r="E23" s="14"/>
      <c r="F23" s="4" t="s">
        <v>27</v>
      </c>
      <c r="G23" s="5">
        <f>+'Janitorial Items'!N23</f>
        <v>2</v>
      </c>
      <c r="H23" s="20">
        <v>672</v>
      </c>
      <c r="I23" s="17">
        <f t="shared" si="1"/>
        <v>1344</v>
      </c>
      <c r="J23" s="14"/>
      <c r="K23" s="28"/>
      <c r="L23" s="29"/>
      <c r="M23" s="40"/>
      <c r="N23" s="41">
        <f t="shared" ref="N23:N35" si="3">M23*L23</f>
        <v>0</v>
      </c>
    </row>
    <row r="24" spans="1:14" ht="19.899999999999999" customHeight="1" x14ac:dyDescent="0.25">
      <c r="A24" s="14"/>
      <c r="B24" s="14"/>
      <c r="C24" s="14"/>
      <c r="D24" s="14"/>
      <c r="E24" s="14"/>
      <c r="F24" s="4" t="s">
        <v>17</v>
      </c>
      <c r="G24" s="5">
        <f>+'Janitorial Items'!N24</f>
        <v>1</v>
      </c>
      <c r="H24" s="21">
        <v>1001.5</v>
      </c>
      <c r="I24" s="17">
        <f t="shared" si="1"/>
        <v>1001.5</v>
      </c>
      <c r="J24" s="14"/>
      <c r="K24" s="28" t="s">
        <v>30</v>
      </c>
      <c r="L24" s="29">
        <v>2</v>
      </c>
      <c r="M24" s="40">
        <v>350</v>
      </c>
      <c r="N24" s="41">
        <f t="shared" ref="N24:N25" si="4">M24*L24</f>
        <v>700</v>
      </c>
    </row>
    <row r="25" spans="1:14" ht="19.899999999999999" customHeight="1" x14ac:dyDescent="0.25">
      <c r="A25" s="14"/>
      <c r="B25" s="14"/>
      <c r="C25" s="14"/>
      <c r="D25" s="14"/>
      <c r="E25" s="14"/>
      <c r="F25" s="4"/>
      <c r="G25" s="5"/>
      <c r="H25" s="20"/>
      <c r="I25" s="17"/>
      <c r="J25" s="14"/>
      <c r="K25" s="30" t="s">
        <v>37</v>
      </c>
      <c r="L25" s="29">
        <v>0</v>
      </c>
      <c r="M25" s="40">
        <v>1000</v>
      </c>
      <c r="N25" s="41">
        <f t="shared" si="4"/>
        <v>0</v>
      </c>
    </row>
    <row r="26" spans="1:14" ht="19.899999999999999" customHeight="1" x14ac:dyDescent="0.2">
      <c r="A26" s="14"/>
      <c r="B26" s="14"/>
      <c r="C26" s="14"/>
      <c r="D26" s="14"/>
      <c r="E26" s="14"/>
      <c r="F26" s="4" t="s">
        <v>97</v>
      </c>
      <c r="G26" s="5">
        <f>+'Janitorial Items'!N25</f>
        <v>0</v>
      </c>
      <c r="H26" s="20">
        <v>1200</v>
      </c>
      <c r="I26" s="17">
        <f t="shared" si="1"/>
        <v>0</v>
      </c>
      <c r="J26" s="14"/>
      <c r="K26" s="30" t="s">
        <v>49</v>
      </c>
      <c r="L26" s="29">
        <f>+'Stationery Items Stock Sheet '!L26</f>
        <v>1</v>
      </c>
      <c r="M26" s="42">
        <v>800</v>
      </c>
      <c r="N26" s="41">
        <f t="shared" si="3"/>
        <v>800</v>
      </c>
    </row>
    <row r="27" spans="1:14" ht="19.899999999999999" customHeight="1" x14ac:dyDescent="0.2">
      <c r="A27" s="14"/>
      <c r="B27" s="14"/>
      <c r="C27" s="14"/>
      <c r="D27" s="14"/>
      <c r="E27" s="14"/>
      <c r="F27" s="4" t="s">
        <v>18</v>
      </c>
      <c r="G27" s="5">
        <f>+'Janitorial Items'!N26</f>
        <v>0</v>
      </c>
      <c r="H27" s="20">
        <v>10</v>
      </c>
      <c r="I27" s="17">
        <f t="shared" si="1"/>
        <v>0</v>
      </c>
      <c r="J27" s="14"/>
      <c r="K27" s="28" t="s">
        <v>84</v>
      </c>
      <c r="L27" s="29">
        <f>+'Stationery Items Stock Sheet '!L27</f>
        <v>0</v>
      </c>
      <c r="M27" s="42">
        <v>120</v>
      </c>
      <c r="N27" s="41">
        <f t="shared" si="3"/>
        <v>0</v>
      </c>
    </row>
    <row r="28" spans="1:14" ht="19.899999999999999" customHeight="1" x14ac:dyDescent="0.2">
      <c r="A28" s="14"/>
      <c r="B28" s="14"/>
      <c r="C28" s="14"/>
      <c r="D28" s="14"/>
      <c r="E28" s="14"/>
      <c r="F28" s="4" t="s">
        <v>28</v>
      </c>
      <c r="G28" s="5">
        <f>+'Janitorial Items'!N27</f>
        <v>8</v>
      </c>
      <c r="H28" s="20">
        <v>200</v>
      </c>
      <c r="I28" s="17">
        <f t="shared" si="1"/>
        <v>1600</v>
      </c>
      <c r="J28" s="14"/>
      <c r="K28" s="30" t="s">
        <v>108</v>
      </c>
      <c r="L28" s="29">
        <f>+'Stationery Items Stock Sheet '!L28</f>
        <v>0</v>
      </c>
      <c r="M28" s="42">
        <v>440</v>
      </c>
      <c r="N28" s="41">
        <f t="shared" si="3"/>
        <v>0</v>
      </c>
    </row>
    <row r="29" spans="1:14" ht="19.899999999999999" customHeight="1" x14ac:dyDescent="0.2">
      <c r="A29" s="14"/>
      <c r="B29" s="14"/>
      <c r="C29" s="14"/>
      <c r="D29" s="14"/>
      <c r="E29" s="14"/>
      <c r="F29" s="48" t="s">
        <v>171</v>
      </c>
      <c r="G29" s="5">
        <v>5</v>
      </c>
      <c r="H29" s="20">
        <v>962</v>
      </c>
      <c r="I29" s="17">
        <f t="shared" si="1"/>
        <v>4810</v>
      </c>
      <c r="J29" s="14"/>
      <c r="K29" s="30" t="s">
        <v>36</v>
      </c>
      <c r="L29" s="29">
        <f>+'Stationery Items Stock Sheet '!L29</f>
        <v>1</v>
      </c>
      <c r="M29" s="42">
        <v>300</v>
      </c>
      <c r="N29" s="41">
        <f t="shared" si="3"/>
        <v>300</v>
      </c>
    </row>
    <row r="30" spans="1:14" ht="19.899999999999999" customHeight="1" x14ac:dyDescent="0.2">
      <c r="A30" s="14"/>
      <c r="B30" s="14"/>
      <c r="C30" s="14"/>
      <c r="D30" s="14"/>
      <c r="E30" s="14"/>
      <c r="F30" s="4" t="s">
        <v>19</v>
      </c>
      <c r="G30" s="5">
        <f>+'Janitorial Items'!N29</f>
        <v>0</v>
      </c>
      <c r="H30" s="21">
        <v>801</v>
      </c>
      <c r="I30" s="17">
        <f t="shared" si="1"/>
        <v>0</v>
      </c>
      <c r="J30" s="14"/>
      <c r="K30" s="28" t="s">
        <v>82</v>
      </c>
      <c r="L30" s="29">
        <f>+'Stationery Items Stock Sheet '!L30</f>
        <v>0</v>
      </c>
      <c r="M30" s="42">
        <v>12</v>
      </c>
      <c r="N30" s="41">
        <f t="shared" si="3"/>
        <v>0</v>
      </c>
    </row>
    <row r="31" spans="1:14" ht="19.899999999999999" customHeight="1" x14ac:dyDescent="0.2">
      <c r="A31" s="14"/>
      <c r="B31" s="14"/>
      <c r="C31" s="14"/>
      <c r="D31" s="14"/>
      <c r="E31" s="14"/>
      <c r="F31" s="4" t="s">
        <v>20</v>
      </c>
      <c r="G31" s="5">
        <f>+'Janitorial Items'!N30</f>
        <v>0</v>
      </c>
      <c r="H31" s="18">
        <v>500</v>
      </c>
      <c r="I31" s="17">
        <f t="shared" si="1"/>
        <v>0</v>
      </c>
      <c r="J31" s="14"/>
      <c r="K31" s="28" t="s">
        <v>83</v>
      </c>
      <c r="L31" s="29">
        <f>+'Stationery Items Stock Sheet '!L31</f>
        <v>0</v>
      </c>
      <c r="M31" s="42">
        <v>20</v>
      </c>
      <c r="N31" s="41">
        <f t="shared" si="3"/>
        <v>0</v>
      </c>
    </row>
    <row r="32" spans="1:14" ht="19.899999999999999" customHeight="1" x14ac:dyDescent="0.2">
      <c r="A32" s="14"/>
      <c r="B32" s="14"/>
      <c r="C32" s="14"/>
      <c r="D32" s="14"/>
      <c r="E32" s="14"/>
      <c r="F32" s="4"/>
      <c r="G32" s="5"/>
      <c r="H32" s="20"/>
      <c r="I32" s="17"/>
      <c r="J32" s="14"/>
      <c r="K32" s="28" t="s">
        <v>81</v>
      </c>
      <c r="L32" s="29">
        <f>+'Stationery Items Stock Sheet '!L32</f>
        <v>0</v>
      </c>
      <c r="M32" s="42">
        <v>5</v>
      </c>
      <c r="N32" s="41">
        <f t="shared" si="3"/>
        <v>0</v>
      </c>
    </row>
    <row r="33" spans="1:14" ht="19.899999999999999" customHeight="1" x14ac:dyDescent="0.2">
      <c r="A33" s="14"/>
      <c r="B33" s="14"/>
      <c r="C33" s="14"/>
      <c r="D33" s="14"/>
      <c r="E33" s="14"/>
      <c r="F33" s="4" t="s">
        <v>174</v>
      </c>
      <c r="G33" s="5">
        <v>9</v>
      </c>
      <c r="H33" s="20">
        <v>276</v>
      </c>
      <c r="I33" s="17">
        <v>2484</v>
      </c>
      <c r="J33" s="14"/>
      <c r="K33" s="28"/>
      <c r="L33" s="29"/>
      <c r="M33" s="42"/>
      <c r="N33" s="41">
        <f t="shared" si="3"/>
        <v>0</v>
      </c>
    </row>
    <row r="34" spans="1:14" ht="19.899999999999999" customHeight="1" x14ac:dyDescent="0.2">
      <c r="A34" s="14"/>
      <c r="B34" s="14"/>
      <c r="C34" s="14"/>
      <c r="D34" s="14"/>
      <c r="E34" s="14"/>
      <c r="F34" s="4" t="s">
        <v>98</v>
      </c>
      <c r="G34" s="5">
        <f>+'Janitorial Items'!N34</f>
        <v>0</v>
      </c>
      <c r="H34" s="18">
        <v>200</v>
      </c>
      <c r="I34" s="17">
        <f t="shared" si="1"/>
        <v>0</v>
      </c>
      <c r="J34" s="14"/>
      <c r="K34" s="30" t="s">
        <v>32</v>
      </c>
      <c r="L34" s="29">
        <f>+'Stationery Items Stock Sheet '!L33</f>
        <v>0</v>
      </c>
      <c r="M34" s="42">
        <v>15</v>
      </c>
      <c r="N34" s="41">
        <f t="shared" si="3"/>
        <v>0</v>
      </c>
    </row>
    <row r="35" spans="1:14" ht="19.899999999999999" customHeight="1" x14ac:dyDescent="0.2">
      <c r="A35" s="14"/>
      <c r="B35" s="14"/>
      <c r="C35" s="14"/>
      <c r="D35" s="14"/>
      <c r="E35" s="14"/>
      <c r="F35" s="4" t="s">
        <v>175</v>
      </c>
      <c r="G35" s="5">
        <f>+'Janitorial Items'!N35</f>
        <v>1</v>
      </c>
      <c r="H35" s="21">
        <v>411</v>
      </c>
      <c r="I35" s="17">
        <f t="shared" si="1"/>
        <v>411</v>
      </c>
      <c r="J35" s="14"/>
      <c r="K35" s="28" t="s">
        <v>100</v>
      </c>
      <c r="L35" s="29">
        <f>+'Stationery Items Stock Sheet '!L34</f>
        <v>0</v>
      </c>
      <c r="M35" s="42">
        <v>20</v>
      </c>
      <c r="N35" s="41">
        <f t="shared" si="3"/>
        <v>0</v>
      </c>
    </row>
    <row r="36" spans="1:14" ht="19.899999999999999" customHeight="1" x14ac:dyDescent="0.2">
      <c r="A36" s="14"/>
      <c r="B36" s="14"/>
      <c r="C36" s="14"/>
      <c r="D36" s="14"/>
      <c r="E36" s="14"/>
      <c r="F36" s="4" t="s">
        <v>176</v>
      </c>
      <c r="G36" s="5">
        <v>0</v>
      </c>
      <c r="H36" s="21">
        <v>1549</v>
      </c>
      <c r="I36" s="17" t="s">
        <v>179</v>
      </c>
      <c r="J36" s="14"/>
      <c r="K36" s="28"/>
      <c r="L36" s="29"/>
      <c r="M36" s="42"/>
      <c r="N36" s="41"/>
    </row>
    <row r="37" spans="1:14" ht="19.899999999999999" customHeight="1" x14ac:dyDescent="0.2">
      <c r="A37" s="14"/>
      <c r="B37" s="14"/>
      <c r="C37" s="14"/>
      <c r="D37" s="14"/>
      <c r="E37" s="14"/>
      <c r="F37" s="4" t="s">
        <v>177</v>
      </c>
      <c r="G37" s="5">
        <v>2</v>
      </c>
      <c r="H37" s="21">
        <v>2286</v>
      </c>
      <c r="I37" s="17">
        <v>4572</v>
      </c>
      <c r="J37" s="14"/>
      <c r="K37" s="28"/>
      <c r="L37" s="29"/>
      <c r="M37" s="42"/>
      <c r="N37" s="41"/>
    </row>
    <row r="38" spans="1:14" ht="19.899999999999999" customHeight="1" x14ac:dyDescent="0.2">
      <c r="A38" s="14"/>
      <c r="B38" s="14"/>
      <c r="C38" s="14"/>
      <c r="D38" s="14"/>
      <c r="E38" s="14"/>
      <c r="F38" s="48" t="s">
        <v>178</v>
      </c>
      <c r="G38" s="5">
        <v>0</v>
      </c>
      <c r="H38" s="21">
        <v>1353.38</v>
      </c>
      <c r="I38" s="17" t="s">
        <v>179</v>
      </c>
      <c r="J38" s="14"/>
      <c r="K38" s="28"/>
      <c r="L38" s="29"/>
      <c r="M38" s="42"/>
      <c r="N38" s="41"/>
    </row>
    <row r="39" spans="1:14" ht="19.899999999999999" customHeight="1" x14ac:dyDescent="0.2">
      <c r="A39" s="14"/>
      <c r="B39" s="14"/>
      <c r="C39" s="14"/>
      <c r="D39" s="14"/>
      <c r="E39" s="14"/>
      <c r="F39" s="4" t="s">
        <v>22</v>
      </c>
      <c r="G39" s="5">
        <f>+'Janitorial Items'!N39</f>
        <v>0</v>
      </c>
      <c r="H39" s="21">
        <v>460.15</v>
      </c>
      <c r="I39" s="17">
        <f t="shared" si="1"/>
        <v>0</v>
      </c>
      <c r="J39" s="14"/>
      <c r="K39" s="30"/>
      <c r="L39" s="29"/>
      <c r="M39" s="42"/>
      <c r="N39" s="41"/>
    </row>
    <row r="40" spans="1:14" ht="19.899999999999999" customHeight="1" x14ac:dyDescent="0.2">
      <c r="A40" s="14"/>
      <c r="B40" s="14"/>
      <c r="C40" s="14"/>
      <c r="D40" s="14"/>
      <c r="E40" s="14"/>
      <c r="F40" s="89" t="s">
        <v>113</v>
      </c>
      <c r="G40" s="89"/>
      <c r="H40" s="89"/>
      <c r="I40" s="24">
        <f>SUM(I5:I39)</f>
        <v>25312.5</v>
      </c>
      <c r="J40" s="14"/>
      <c r="K40" s="30"/>
      <c r="L40" s="29"/>
      <c r="M40" s="42"/>
      <c r="N40" s="41"/>
    </row>
    <row r="41" spans="1:14" ht="19.899999999999999" customHeight="1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30"/>
      <c r="L41" s="29"/>
      <c r="M41" s="42"/>
      <c r="N41" s="41"/>
    </row>
    <row r="42" spans="1:14" ht="19.899999999999999" customHeight="1" x14ac:dyDescent="0.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30"/>
      <c r="L42" s="29"/>
      <c r="M42" s="42"/>
      <c r="N42" s="41"/>
    </row>
    <row r="43" spans="1:14" ht="19.899999999999999" customHeight="1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30"/>
      <c r="L43" s="29"/>
      <c r="M43" s="42"/>
      <c r="N43" s="41"/>
    </row>
    <row r="44" spans="1:14" ht="19.899999999999999" customHeight="1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30"/>
      <c r="L44" s="29"/>
      <c r="M44" s="42"/>
      <c r="N44" s="41"/>
    </row>
    <row r="45" spans="1:14" ht="19.899999999999999" customHeight="1" x14ac:dyDescent="0.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30"/>
      <c r="L45" s="29"/>
      <c r="M45" s="42"/>
      <c r="N45" s="41"/>
    </row>
    <row r="46" spans="1:14" ht="19.899999999999999" customHeight="1" x14ac:dyDescent="0.2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30" t="s">
        <v>102</v>
      </c>
      <c r="L46" s="29">
        <f>+'Stationery Items Stock Sheet '!L35</f>
        <v>0</v>
      </c>
      <c r="M46" s="42">
        <v>150</v>
      </c>
      <c r="N46" s="41">
        <f t="shared" ref="N46" si="5">M46*L46</f>
        <v>0</v>
      </c>
    </row>
    <row r="47" spans="1:14" ht="19.899999999999999" customHeight="1" x14ac:dyDescent="0.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28" t="s">
        <v>93</v>
      </c>
      <c r="L47" s="29">
        <f>+'Stationery Items Stock Sheet '!L36</f>
        <v>0</v>
      </c>
      <c r="M47" s="42">
        <v>50</v>
      </c>
      <c r="N47" s="41">
        <f t="shared" ref="N47" si="6">M47*L47</f>
        <v>0</v>
      </c>
    </row>
    <row r="48" spans="1:14" ht="19.899999999999999" customHeight="1" x14ac:dyDescent="0.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28" t="s">
        <v>88</v>
      </c>
      <c r="L48" s="29">
        <f>+'Stationery Items Stock Sheet '!L37</f>
        <v>0</v>
      </c>
      <c r="M48" s="42">
        <v>50</v>
      </c>
      <c r="N48" s="41">
        <f t="shared" ref="N48" si="7">M48*L48</f>
        <v>0</v>
      </c>
    </row>
    <row r="49" spans="1:14" ht="19.899999999999999" customHeight="1" x14ac:dyDescent="0.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30" t="s">
        <v>41</v>
      </c>
      <c r="L49" s="29">
        <f>+'Stationery Items Stock Sheet '!L38</f>
        <v>0</v>
      </c>
      <c r="M49" s="42">
        <v>18</v>
      </c>
      <c r="N49" s="41">
        <f t="shared" ref="N49" si="8">M49*L49</f>
        <v>0</v>
      </c>
    </row>
    <row r="50" spans="1:14" ht="19.899999999999999" customHeight="1" x14ac:dyDescent="0.2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30" t="s">
        <v>63</v>
      </c>
      <c r="L50" s="29">
        <f>+'Stationery Items Stock Sheet '!L39</f>
        <v>0</v>
      </c>
      <c r="M50" s="42">
        <v>480</v>
      </c>
      <c r="N50" s="41">
        <f t="shared" ref="N50" si="9">M50*L50</f>
        <v>0</v>
      </c>
    </row>
    <row r="51" spans="1:14" ht="19.899999999999999" customHeight="1" x14ac:dyDescent="0.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30" t="s">
        <v>64</v>
      </c>
      <c r="L51" s="29">
        <f>+'Stationery Items Stock Sheet '!L40</f>
        <v>0</v>
      </c>
      <c r="M51" s="42">
        <v>480</v>
      </c>
      <c r="N51" s="41">
        <f t="shared" ref="N51" si="10">M51*L51</f>
        <v>0</v>
      </c>
    </row>
    <row r="52" spans="1:14" ht="19.899999999999999" customHeight="1" x14ac:dyDescent="0.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28" t="s">
        <v>89</v>
      </c>
      <c r="L52" s="29">
        <f>+'Stationery Items Stock Sheet '!L41</f>
        <v>0</v>
      </c>
      <c r="M52" s="42">
        <v>30</v>
      </c>
      <c r="N52" s="41">
        <f t="shared" ref="N52" si="11">M52*L52</f>
        <v>0</v>
      </c>
    </row>
    <row r="53" spans="1:14" ht="19.899999999999999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28" t="s">
        <v>39</v>
      </c>
      <c r="L53" s="29">
        <f>+'Stationery Items Stock Sheet '!L42</f>
        <v>0</v>
      </c>
      <c r="M53" s="40">
        <v>75</v>
      </c>
      <c r="N53" s="41">
        <f t="shared" ref="N53" si="12">M53*L53</f>
        <v>0</v>
      </c>
    </row>
    <row r="54" spans="1:14" ht="19.899999999999999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28" t="s">
        <v>38</v>
      </c>
      <c r="L54" s="29">
        <f>+'Stationery Items Stock Sheet '!L43</f>
        <v>0</v>
      </c>
      <c r="M54" s="40">
        <v>150</v>
      </c>
      <c r="N54" s="41">
        <f t="shared" ref="N54" si="13">M54*L54</f>
        <v>0</v>
      </c>
    </row>
    <row r="55" spans="1:14" ht="19.899999999999999" customHeight="1" x14ac:dyDescent="0.2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28" t="s">
        <v>85</v>
      </c>
      <c r="L55" s="29">
        <f>+'Stationery Items Stock Sheet '!L44</f>
        <v>0</v>
      </c>
      <c r="M55" s="42">
        <v>250</v>
      </c>
      <c r="N55" s="41">
        <f t="shared" ref="N55" si="14">M55*L55</f>
        <v>0</v>
      </c>
    </row>
    <row r="56" spans="1:14" ht="19.899999999999999" customHeight="1" x14ac:dyDescent="0.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30" t="s">
        <v>53</v>
      </c>
      <c r="L56" s="29">
        <f>+'Stationery Items Stock Sheet '!L46</f>
        <v>0</v>
      </c>
      <c r="M56" s="42">
        <v>300</v>
      </c>
      <c r="N56" s="41">
        <f t="shared" si="2"/>
        <v>0</v>
      </c>
    </row>
    <row r="57" spans="1:14" ht="19.899999999999999" customHeight="1" x14ac:dyDescent="0.2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30" t="s">
        <v>56</v>
      </c>
      <c r="L57" s="29">
        <f>+'Stationery Items Stock Sheet '!L47</f>
        <v>0</v>
      </c>
      <c r="M57" s="42">
        <v>50</v>
      </c>
      <c r="N57" s="41">
        <f t="shared" si="2"/>
        <v>0</v>
      </c>
    </row>
    <row r="58" spans="1:14" ht="19.899999999999999" customHeight="1" x14ac:dyDescent="0.2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30" t="s">
        <v>52</v>
      </c>
      <c r="L58" s="29">
        <f>+'Stationery Items Stock Sheet '!L48</f>
        <v>0</v>
      </c>
      <c r="M58" s="42">
        <v>70</v>
      </c>
      <c r="N58" s="41">
        <f t="shared" si="2"/>
        <v>0</v>
      </c>
    </row>
    <row r="59" spans="1:14" ht="19.899999999999999" customHeight="1" x14ac:dyDescent="0.2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28" t="s">
        <v>101</v>
      </c>
      <c r="L59" s="29">
        <v>8</v>
      </c>
      <c r="M59" s="42">
        <v>1450</v>
      </c>
      <c r="N59" s="41">
        <f t="shared" si="2"/>
        <v>11600</v>
      </c>
    </row>
    <row r="60" spans="1:14" ht="19.899999999999999" customHeight="1" x14ac:dyDescent="0.2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28"/>
      <c r="L60" s="29"/>
      <c r="M60" s="42"/>
      <c r="N60" s="41">
        <f t="shared" si="2"/>
        <v>0</v>
      </c>
    </row>
    <row r="61" spans="1:14" ht="19.899999999999999" customHeight="1" x14ac:dyDescent="0.2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33" t="s">
        <v>92</v>
      </c>
      <c r="L61" s="29">
        <f>+'Stationery Items Stock Sheet '!L51</f>
        <v>0</v>
      </c>
      <c r="M61" s="42">
        <v>60</v>
      </c>
      <c r="N61" s="41">
        <f t="shared" si="2"/>
        <v>0</v>
      </c>
    </row>
    <row r="62" spans="1:14" ht="19.899999999999999" customHeight="1" x14ac:dyDescent="0.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30" t="s">
        <v>34</v>
      </c>
      <c r="L62" s="29">
        <f>+'Stationery Items Stock Sheet '!L52</f>
        <v>0</v>
      </c>
      <c r="M62" s="42">
        <v>350</v>
      </c>
      <c r="N62" s="41">
        <f t="shared" si="2"/>
        <v>0</v>
      </c>
    </row>
    <row r="63" spans="1:14" ht="19.899999999999999" customHeight="1" x14ac:dyDescent="0.2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28" t="s">
        <v>77</v>
      </c>
      <c r="L63" s="29">
        <f>+'Stationery Items Stock Sheet '!L53</f>
        <v>0</v>
      </c>
      <c r="M63" s="42">
        <v>112</v>
      </c>
      <c r="N63" s="41">
        <f t="shared" si="2"/>
        <v>0</v>
      </c>
    </row>
    <row r="64" spans="1:14" ht="19.899999999999999" customHeight="1" x14ac:dyDescent="0.2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28" t="s">
        <v>74</v>
      </c>
      <c r="L64" s="29">
        <f>+'Stationery Items Stock Sheet '!L54</f>
        <v>0</v>
      </c>
      <c r="M64" s="42">
        <v>20</v>
      </c>
      <c r="N64" s="41">
        <f t="shared" si="2"/>
        <v>0</v>
      </c>
    </row>
    <row r="65" spans="1:14" ht="19.899999999999999" customHeight="1" x14ac:dyDescent="0.2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28" t="s">
        <v>75</v>
      </c>
      <c r="L65" s="29">
        <f>+'Stationery Items Stock Sheet '!L55</f>
        <v>0</v>
      </c>
      <c r="M65" s="42">
        <v>30</v>
      </c>
      <c r="N65" s="41">
        <f t="shared" si="2"/>
        <v>0</v>
      </c>
    </row>
    <row r="66" spans="1:14" ht="19.899999999999999" customHeight="1" x14ac:dyDescent="0.2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28" t="s">
        <v>76</v>
      </c>
      <c r="L66" s="29">
        <f>+'Stationery Items Stock Sheet '!L56</f>
        <v>0</v>
      </c>
      <c r="M66" s="42">
        <v>290</v>
      </c>
      <c r="N66" s="41">
        <f t="shared" si="2"/>
        <v>0</v>
      </c>
    </row>
    <row r="67" spans="1:14" ht="19.899999999999999" customHeight="1" x14ac:dyDescent="0.2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28"/>
      <c r="L67" s="29"/>
      <c r="M67" s="42"/>
      <c r="N67" s="41"/>
    </row>
    <row r="68" spans="1:14" ht="19.899999999999999" customHeight="1" x14ac:dyDescent="0.2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30" t="s">
        <v>61</v>
      </c>
      <c r="L68" s="29">
        <f>+'Stationery Items Stock Sheet '!L58</f>
        <v>0</v>
      </c>
      <c r="M68" s="42">
        <v>480</v>
      </c>
      <c r="N68" s="41">
        <f t="shared" si="2"/>
        <v>0</v>
      </c>
    </row>
    <row r="69" spans="1:14" ht="19.899999999999999" customHeight="1" x14ac:dyDescent="0.2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30" t="s">
        <v>67</v>
      </c>
      <c r="L69" s="29">
        <f>+'Stationery Items Stock Sheet '!L59</f>
        <v>0</v>
      </c>
      <c r="M69" s="42">
        <v>80</v>
      </c>
      <c r="N69" s="41">
        <f t="shared" si="2"/>
        <v>0</v>
      </c>
    </row>
    <row r="70" spans="1:14" ht="19.899999999999999" customHeight="1" x14ac:dyDescent="0.2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30" t="s">
        <v>48</v>
      </c>
      <c r="L70" s="29">
        <f>+'Stationery Items Stock Sheet '!L60</f>
        <v>0</v>
      </c>
      <c r="M70" s="42">
        <v>90</v>
      </c>
      <c r="N70" s="41">
        <f t="shared" si="2"/>
        <v>0</v>
      </c>
    </row>
    <row r="71" spans="1:14" ht="19.899999999999999" customHeight="1" x14ac:dyDescent="0.2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30" t="s">
        <v>51</v>
      </c>
      <c r="L71" s="29">
        <f>+'Stationery Items Stock Sheet '!L61</f>
        <v>0</v>
      </c>
      <c r="M71" s="42">
        <v>60</v>
      </c>
      <c r="N71" s="41">
        <f t="shared" si="2"/>
        <v>0</v>
      </c>
    </row>
    <row r="72" spans="1:14" ht="19.899999999999999" customHeight="1" x14ac:dyDescent="0.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28" t="s">
        <v>86</v>
      </c>
      <c r="L72" s="29">
        <f>+'Stationery Items Stock Sheet '!L62</f>
        <v>1</v>
      </c>
      <c r="M72" s="42">
        <v>75</v>
      </c>
      <c r="N72" s="41">
        <f t="shared" si="2"/>
        <v>75</v>
      </c>
    </row>
    <row r="73" spans="1:14" ht="19.899999999999999" customHeight="1" x14ac:dyDescent="0.2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28" t="s">
        <v>87</v>
      </c>
      <c r="L73" s="29">
        <f>+'Stationery Items Stock Sheet '!L63</f>
        <v>2</v>
      </c>
      <c r="M73" s="42">
        <v>145</v>
      </c>
      <c r="N73" s="41">
        <f t="shared" si="2"/>
        <v>290</v>
      </c>
    </row>
    <row r="74" spans="1:14" ht="19.899999999999999" customHeight="1" x14ac:dyDescent="0.2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28" t="s">
        <v>44</v>
      </c>
      <c r="L74" s="29">
        <f>+'Stationery Items Stock Sheet '!L64</f>
        <v>0</v>
      </c>
      <c r="M74" s="42">
        <v>90</v>
      </c>
      <c r="N74" s="41">
        <f t="shared" si="2"/>
        <v>0</v>
      </c>
    </row>
    <row r="75" spans="1:14" ht="19.899999999999999" customHeight="1" x14ac:dyDescent="0.2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30" t="s">
        <v>31</v>
      </c>
      <c r="L75" s="29">
        <f>+'Stationery Items Stock Sheet '!L65</f>
        <v>3</v>
      </c>
      <c r="M75" s="42">
        <v>120</v>
      </c>
      <c r="N75" s="41">
        <f t="shared" si="2"/>
        <v>360</v>
      </c>
    </row>
    <row r="76" spans="1:14" ht="19.899999999999999" customHeight="1" x14ac:dyDescent="0.2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30" t="s">
        <v>42</v>
      </c>
      <c r="L76" s="29">
        <f>+'Stationery Items Stock Sheet '!L66</f>
        <v>0</v>
      </c>
      <c r="M76" s="42">
        <v>15</v>
      </c>
      <c r="N76" s="41">
        <f t="shared" si="2"/>
        <v>0</v>
      </c>
    </row>
    <row r="77" spans="1:14" ht="19.899999999999999" customHeight="1" x14ac:dyDescent="0.2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30" t="s">
        <v>54</v>
      </c>
      <c r="L77" s="29">
        <f>+'Stationery Items Stock Sheet '!L67</f>
        <v>0</v>
      </c>
      <c r="M77" s="42">
        <v>50</v>
      </c>
      <c r="N77" s="41">
        <f t="shared" si="2"/>
        <v>0</v>
      </c>
    </row>
    <row r="78" spans="1:14" ht="19.899999999999999" customHeight="1" x14ac:dyDescent="0.2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30" t="s">
        <v>55</v>
      </c>
      <c r="L78" s="29">
        <f>+'Stationery Items Stock Sheet '!L68</f>
        <v>0</v>
      </c>
      <c r="M78" s="42">
        <v>50</v>
      </c>
      <c r="N78" s="41">
        <f t="shared" ref="N78:N90" si="15">M78*L78</f>
        <v>0</v>
      </c>
    </row>
    <row r="79" spans="1:14" ht="19.899999999999999" customHeight="1" x14ac:dyDescent="0.2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30" t="s">
        <v>50</v>
      </c>
      <c r="L79" s="29">
        <f>+'Stationery Items Stock Sheet '!L69</f>
        <v>0</v>
      </c>
      <c r="M79" s="42">
        <v>1250</v>
      </c>
      <c r="N79" s="41">
        <f t="shared" si="15"/>
        <v>0</v>
      </c>
    </row>
    <row r="80" spans="1:14" ht="19.899999999999999" customHeight="1" x14ac:dyDescent="0.2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30" t="s">
        <v>107</v>
      </c>
      <c r="L80" s="29">
        <f>+'Stationery Items Stock Sheet '!L70</f>
        <v>0</v>
      </c>
      <c r="M80" s="42">
        <v>370</v>
      </c>
      <c r="N80" s="41">
        <f t="shared" si="15"/>
        <v>0</v>
      </c>
    </row>
    <row r="81" spans="1:14" ht="19.899999999999999" customHeight="1" x14ac:dyDescent="0.2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30" t="s">
        <v>33</v>
      </c>
      <c r="L81" s="29">
        <f>+'Stationery Items Stock Sheet '!L71</f>
        <v>2</v>
      </c>
      <c r="M81" s="42">
        <v>60</v>
      </c>
      <c r="N81" s="41">
        <f t="shared" si="15"/>
        <v>120</v>
      </c>
    </row>
    <row r="82" spans="1:14" ht="19.899999999999999" customHeight="1" x14ac:dyDescent="0.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30" t="s">
        <v>62</v>
      </c>
      <c r="L82" s="29">
        <f>+'Stationery Items Stock Sheet '!L72</f>
        <v>0</v>
      </c>
      <c r="M82" s="42">
        <v>380</v>
      </c>
      <c r="N82" s="41">
        <f t="shared" si="15"/>
        <v>0</v>
      </c>
    </row>
    <row r="83" spans="1:14" ht="19.899999999999999" customHeight="1" x14ac:dyDescent="0.2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30" t="s">
        <v>57</v>
      </c>
      <c r="L83" s="29">
        <f>+'Stationery Items Stock Sheet '!L73</f>
        <v>0</v>
      </c>
      <c r="M83" s="42">
        <v>80</v>
      </c>
      <c r="N83" s="41">
        <f t="shared" si="15"/>
        <v>0</v>
      </c>
    </row>
    <row r="84" spans="1:14" ht="19.899999999999999" customHeight="1" x14ac:dyDescent="0.2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28" t="s">
        <v>45</v>
      </c>
      <c r="L84" s="29">
        <f>+'Stationery Items Stock Sheet '!L74</f>
        <v>2</v>
      </c>
      <c r="M84" s="42">
        <v>100</v>
      </c>
      <c r="N84" s="41">
        <f t="shared" si="15"/>
        <v>200</v>
      </c>
    </row>
    <row r="85" spans="1:14" ht="19.899999999999999" customHeight="1" x14ac:dyDescent="0.2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30" t="s">
        <v>103</v>
      </c>
      <c r="L85" s="29">
        <f>+'Stationery Items Stock Sheet '!L76</f>
        <v>0</v>
      </c>
      <c r="M85" s="42">
        <v>50</v>
      </c>
      <c r="N85" s="41">
        <f t="shared" si="15"/>
        <v>0</v>
      </c>
    </row>
    <row r="86" spans="1:14" ht="19.899999999999999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30" t="s">
        <v>35</v>
      </c>
      <c r="L86" s="29">
        <f>+'Stationery Items Stock Sheet '!L77</f>
        <v>0</v>
      </c>
      <c r="M86" s="40">
        <v>200</v>
      </c>
      <c r="N86" s="41">
        <f t="shared" si="15"/>
        <v>0</v>
      </c>
    </row>
    <row r="87" spans="1:14" ht="19.899999999999999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28" t="s">
        <v>90</v>
      </c>
      <c r="L87" s="29">
        <f>+'Stationery Items Stock Sheet '!L78</f>
        <v>0</v>
      </c>
      <c r="M87" s="40">
        <v>130</v>
      </c>
      <c r="N87" s="41">
        <f t="shared" si="15"/>
        <v>0</v>
      </c>
    </row>
    <row r="88" spans="1:14" ht="19.899999999999999" customHeight="1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30" t="s">
        <v>65</v>
      </c>
      <c r="L88" s="29">
        <f>+'Stationery Items Stock Sheet '!L79</f>
        <v>0</v>
      </c>
      <c r="M88" s="42">
        <v>400</v>
      </c>
      <c r="N88" s="41">
        <f t="shared" si="15"/>
        <v>0</v>
      </c>
    </row>
    <row r="89" spans="1:14" ht="19.899999999999999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30" t="s">
        <v>40</v>
      </c>
      <c r="L89" s="29">
        <f>+'Stationery Items Stock Sheet '!L80</f>
        <v>1</v>
      </c>
      <c r="M89" s="40">
        <v>50</v>
      </c>
      <c r="N89" s="41">
        <f t="shared" si="15"/>
        <v>50</v>
      </c>
    </row>
    <row r="90" spans="1:14" ht="19.899999999999999" customHeight="1" x14ac:dyDescent="0.2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30" t="s">
        <v>66</v>
      </c>
      <c r="L90" s="29">
        <f>+'Stationery Items Stock Sheet '!L82</f>
        <v>0</v>
      </c>
      <c r="M90" s="42">
        <v>60</v>
      </c>
      <c r="N90" s="41">
        <f t="shared" si="15"/>
        <v>0</v>
      </c>
    </row>
    <row r="91" spans="1:14" ht="22.15" customHeight="1" x14ac:dyDescent="0.25">
      <c r="K91" s="89" t="s">
        <v>113</v>
      </c>
      <c r="L91" s="89"/>
      <c r="M91" s="89"/>
      <c r="N91" s="25">
        <f>SUM(N6:N90)</f>
        <v>14945</v>
      </c>
    </row>
  </sheetData>
  <mergeCells count="8">
    <mergeCell ref="A1:N1"/>
    <mergeCell ref="A2:N2"/>
    <mergeCell ref="A13:C13"/>
    <mergeCell ref="F40:H40"/>
    <mergeCell ref="K91:M91"/>
    <mergeCell ref="F3:I3"/>
    <mergeCell ref="A3:D3"/>
    <mergeCell ref="K3:N3"/>
  </mergeCells>
  <conditionalFormatting sqref="A5:A9 A11:A12">
    <cfRule type="duplicateValues" dxfId="10" priority="116"/>
  </conditionalFormatting>
  <conditionalFormatting sqref="A10">
    <cfRule type="duplicateValues" dxfId="9" priority="1"/>
  </conditionalFormatting>
  <conditionalFormatting sqref="F5">
    <cfRule type="duplicateValues" dxfId="8" priority="10"/>
  </conditionalFormatting>
  <conditionalFormatting sqref="F9:F39 F6">
    <cfRule type="duplicateValues" dxfId="7" priority="12"/>
  </conditionalFormatting>
  <conditionalFormatting sqref="F11">
    <cfRule type="duplicateValues" dxfId="6" priority="11"/>
  </conditionalFormatting>
  <conditionalFormatting sqref="K24 K30:K42 K26">
    <cfRule type="duplicateValues" dxfId="5" priority="8"/>
  </conditionalFormatting>
  <conditionalFormatting sqref="K25">
    <cfRule type="duplicateValues" dxfId="4" priority="2"/>
  </conditionalFormatting>
  <conditionalFormatting sqref="K32:K33">
    <cfRule type="duplicateValues" dxfId="3" priority="7"/>
  </conditionalFormatting>
  <conditionalFormatting sqref="K48:K49">
    <cfRule type="duplicateValues" dxfId="2" priority="6"/>
  </conditionalFormatting>
  <conditionalFormatting sqref="K81:K90 K79 K63 K50:K54 K66:K77 K59:K61">
    <cfRule type="duplicateValues" dxfId="1" priority="9"/>
  </conditionalFormatting>
  <dataValidations count="3">
    <dataValidation type="list" allowBlank="1" showInputMessage="1" showErrorMessage="1" sqref="A5:A9 A11:A12" xr:uid="{E990F709-E589-474E-970E-659E33B171B4}">
      <formula1>$B$5:$B$12</formula1>
    </dataValidation>
    <dataValidation type="list" allowBlank="1" showInputMessage="1" showErrorMessage="1" sqref="K5:K24 K26:K90" xr:uid="{55B47101-5ECF-45CF-A39C-0DBF0064D02E}">
      <formula1>$B$5:$B$90</formula1>
    </dataValidation>
    <dataValidation allowBlank="1" showInputMessage="1" showErrorMessage="1" sqref="F29" xr:uid="{8BBF6860-2E56-4AD0-A534-F4C01B19209B}"/>
  </dataValidations>
  <pageMargins left="3.937007874015748E-2" right="3.937007874015748E-2" top="0.15748031496062992" bottom="0.15748031496062992" header="0.31496062992125984" footer="0.31496062992125984"/>
  <pageSetup paperSize="9" scale="60" orientation="landscape" r:id="rId1"/>
  <rowBreaks count="1" manualBreakCount="1">
    <brk id="4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Grocery Items</vt:lpstr>
      <vt:lpstr>Janitorial Items</vt:lpstr>
      <vt:lpstr>Stationery Items Stock Sheet </vt:lpstr>
      <vt:lpstr>Monthly Cost Breakup</vt:lpstr>
      <vt:lpstr>'Janitorial Items'!Print_Area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Kamran Shahzad</dc:creator>
  <cp:lastModifiedBy>Muneeb Islam</cp:lastModifiedBy>
  <cp:lastPrinted>2025-11-10T06:10:42Z</cp:lastPrinted>
  <dcterms:created xsi:type="dcterms:W3CDTF">2015-06-05T18:17:20Z</dcterms:created>
  <dcterms:modified xsi:type="dcterms:W3CDTF">2026-05-05T01:17:01Z</dcterms:modified>
</cp:coreProperties>
</file>